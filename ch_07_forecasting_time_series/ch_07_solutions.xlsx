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7_forecasting_time_series\"/>
    </mc:Choice>
  </mc:AlternateContent>
  <xr:revisionPtr revIDLastSave="0" documentId="13_ncr:1_{4BAA6EB7-5960-4F70-ADE3-D2A9828B33D7}" xr6:coauthVersionLast="47" xr6:coauthVersionMax="47" xr10:uidLastSave="{00000000-0000-0000-0000-000000000000}"/>
  <bookViews>
    <workbookView xWindow="-98" yWindow="-98" windowWidth="18915" windowHeight="12676" activeTab="2" xr2:uid="{127BCBE3-2501-4C38-9896-5064F2DA9264}"/>
  </bookViews>
  <sheets>
    <sheet name="AirPassengers" sheetId="1" r:id="rId1"/>
    <sheet name="passengers_ts" sheetId="3" r:id="rId2"/>
    <sheet name="Shampoo" sheetId="2" r:id="rId3"/>
    <sheet name="shampoo_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9" i="3" l="1" a="1"/>
  <c r="A17" i="3" l="1" a="1"/>
  <c r="A44" i="3" a="1"/>
  <c r="A60" i="3" s="1" a="1"/>
  <c r="A86" i="3" l="1" a="1"/>
  <c r="A104" i="3" s="1" a="1"/>
  <c r="A120" i="3" s="1" a="1"/>
  <c r="A132" i="3" a="1"/>
  <c r="A136" i="3" s="1" a="1"/>
  <c r="A138" i="3" a="1"/>
  <c r="A145" i="3" s="1" a="1"/>
  <c r="A153" i="3" s="1" a="1"/>
  <c r="A157" i="3" s="1" a="1"/>
  <c r="A159" i="3" s="1" a="1"/>
  <c r="A161" i="3" s="1" a="1"/>
  <c r="A168" i="3" s="1" a="1"/>
  <c r="A171" i="3" s="1" a="1"/>
  <c r="A187" i="3" s="1" a="1"/>
  <c r="A190" i="3" l="1" a="1"/>
  <c r="A196" i="3" s="1" a="1"/>
  <c r="A1" i="4" l="1" a="1"/>
  <c r="A10" i="4" s="1" a="1"/>
  <c r="A24" i="4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passengers_df = xl(%P2%, headers=True)
passengers_df['date'] = pd.to_datetime(passengers_df['date'])
passengers_df = passengers_df.set_index('date')
passengers_df.head()</code>
    </pythonScript>
    <pythonScript>
      <code>quarterly = passengers_df.resample('QE').mean()
quarterly.head()</code>
    </pythonScript>
    <pythonScript>
      <code>sns.lineplot(x=passengers_df.index, y=passengers_df['passengers'],
             label='Monthly', alpha=0.5)
sns.lineplot(x=quarterly.index, y=quarterly['passengers'],
             label='Quarterly (resampled)', linewidth=2)
plt.ylabel('Passenger Count')
plt.title('Monthly vs Quarterly Passenger Counts')
plt.tight_layout()</code>
    </pythonScript>
    <pythonScript>
      <code xml:space="preserve">passengers_df['rolling_mean'] = passengers_df['passengers'].rolling(window=12).mean()
passengers_df.head(12) </code>
    </pythonScript>
    <pythonScript>
      <code xml:space="preserve">sns.lineplot(x=passengers_df.index, y=passengers_df['passengers'], 
              label='Monthly passengers', alpha=0.6) 
sns.lineplot(x=passengers_df.index, y=passengers_df['rolling_mean'], 
              label='12-month rolling mean', linewidth=2) 
plt.ylabel('Passenger Count') 
plt.title('Airline Passengers with 12-Month Rolling Mean') 
plt.tight_layout() </code>
    </pythonScript>
    <pythonScript>
      <code>from statsmodels.tsa.seasonal import seasonal_decompose
decomposition = seasonal_decompose(passengers_df['passengers'],
                                   model='additive', period=12)
trend = decomposition.trend
seasonal = decomposition.seasonal
residual = decomposition.resid
trend.head(15)</code>
    </pythonScript>
    <pythonScript>
      <code>decomposition.plot()
plt.suptitle('Airline Passenger Data Decomposition')
plt.tight_layout()</code>
    </pythonScript>
    <pythonScript>
      <code>from statsmodels.tsa.holtwinters import ExponentialSmoothing
hw_model = ExponentialSmoothing(passengers_df['passengers'],
                                 trend='add',
                                 seasonal='add',
                                 seasonal_periods=12)
hw_fit = hw_model.fit()
fitted_values = hw_fit.fittedvalues
comparison = passengers_df[['passengers']].copy()
comparison['fitted'] = fitted_values
comparison.head(10)</code>
    </pythonScript>
    <pythonScript>
      <code># Forecast horizon
forecast_periods = 24
# Generate forecast values
forecast = hw_fit.forecast(steps=forecast_periods)
# Create corresponding forecast dates
forecast_dates = pd.date_range(
    start=passengers_df.index[-1],
    periods=forecast_periods + 1,
    freq='MS'
)[1:]  # skip the last observed period</code>
    </pythonScript>
    <pythonScript>
      <code>sns.lineplot(x=passengers_df.index, y=passengers_df['passengers'],
             label='Historical Data', linewidth=2)
sns.lineplot(x=forecast_dates, y=forecast.values,
             label='Holt-Winters Forecast', linewidth=2,
             linestyle='--', color='red')
plt.ylabel('Passenger Count')
plt.title('Airline Passengers: Holt-Winters Forecast')
plt.grid(True, alpha=0.3)
plt.tight_layout()</code>
    </pythonScript>
    <pythonScript>
      <code># Forecast horizon
forecast_periods = 24
# Generate forecast values
forecast = hw_fit.forecast(steps=forecast_periods)
# Create corresponding forecast dates
forecast_dates = pd.date_range(
    start=passengers_df.index[-1],
    periods=forecast_periods + 1,
    freq='MS'
)[1:]  # skip the last observed period
forecast_dates</code>
    </pythonScript>
    <pythonScript>
      <code># Plot historical data
sns.lineplot(
    x=passengers_df.index,
    y=passengers_df['passengers'],
    label='Historical Data',
    linewidth=2
)
# Plot forecast
sns.lineplot(
    x=forecast_dates,
    y=forecast.values,
    label='Holt-Winters Forecast',
    linewidth=2,
    linestyle='--',
    color='red'
)
# Chart formatting
plt.ylabel('Passenger Count')
plt.title('Airline Passengers: Holt-Winters Forecast')
plt.grid(True, alpha=0.3)
plt.tight_layout()</code>
    </pythonScript>
    <pythonScript>
      <code>from statsmodels.tsa.stattools import adfuller
result = adfuller(passengers_df['passengers'].dropna())
results_df = pd.DataFrame({
    'Metric': ['Test Statistic', 'p-value'],
    'Value': [result[0], result[1]]
})
results_df</code>
    </pythonScript>
    <pythonScript>
      <code xml:space="preserve"># Split data into training and test sets 
train_data = passengers_df[ 
passengers_df.index &lt; '1959-01-01' 
] 
test_data = passengers_df[ 
(passengers_df.index &gt;= '1959-01-01') &amp; 
(passengers_df.index &lt; '1961-01-01') 
] </code>
    </pythonScript>
    <pythonScript>
      <code xml:space="preserve"># Initialize Holt-Winters model on training data 
hw_model_train = ExponentialSmoothing( 
train_data['passengers'], 
trend='add', 
seasonal='add', 
seasonal_periods=12 
) 
# Fit the model 
hw_fit_train = hw_model_train.fit() </code>
    </pythonScript>
    <pythonScript>
      <code>forecast_test = hw_fit_train.forecast(steps=len(test_data))
forecast_test.head()</code>
    </pythonScript>
    <pythonScript>
      <code>errors = np.abs(forecast_test.values - test_data['passengers'].values)
mae = np.mean(errors)
f"Mean Absolute Error: {mae:.2f}"</code>
    </pythonScript>
    <pythonScript>
      <code>comparison_df = pd.DataFrame({
    'Actual': test_data['passengers'].values[:12],
    'Forecast': forecast_test.values[:12],
    'Error': errors[:12]
})
comparison_df</code>
    </pythonScript>
    <pythonScript>
      <code xml:space="preserve"># Create a naive baseline forecast using the last observed value 
baseline_forecast = np.repeat( 
train_data['passengers'].iloc[-1], 
len(test_data) 
) 
# Compute absolute errors 
baseline_errors = np.abs( 
baseline_forecast - test_data['passengers'].values 
) 
# Calculate Mean Absolute Error (MAE) 
baseline_mae = np.mean(baseline_errors) 
</code>
    </pythonScript>
    <pythonScript>
      <code>hw_improvement = (baseline_mae - mae) / baseline_mae * 100
pd.DataFrame({
    "Metric": ["Holt-Winters MAE", "Baseline MAE", "Improvement (%%)"],
    "Value": [mae, baseline_mae, hw_improvement]
}).assign(Value=lambda df: df["Value"].round(2))</code>
    </pythonScript>
    <pythonScript>
      <code>sns.lineplot(x=train_data.index, y=train_data['passengers'],
             label='Training Data', linewidth=2, alpha=0.7)
sns.lineplot(x=test_data.index, y=test_data['passengers'],
             label='Actual Test Data', linewidth=2)
sns.lineplot(x=test_data.index, y=forecast_test.values,
             label='Forecast', linewidth=2, linestyle='--', color='red')
plt.axvline(x=pd.Timestamp('1959-01-01'), color='gray',
            linestyle=':', alpha=0.5)
plt.ylabel('Passenger Count')
plt.title('Holt-Winters Forecast vs. Actual Test Data')
plt.grid(True, alpha=0.3)
plt.tight_layout()</code>
    </pythonScript>
    <pythonScript>
      <code>shampoo_df = xl(%P2%, headers=True)
shampoo_df['date'] = pd.to_datetime(shampoo_df['date'])
shampoo_df = shampoo_df.set_index('date')
shampoo_df.head()</code>
    </pythonScript>
    <pythonScript>
      <code xml:space="preserve"># Create side-by-side subplots 
fig, axes = plt.subplots(nrows=1, ncols=2, figsize=(12, 4)) 
# Plot airline passengers 
sns.lineplot( 
x=passengers_df.index, 
y=passengers_df['passengers'], 
linewidth=2, 
ax=axes[0] 
) 
axes[0].set_title('Airline Passengers') 
axes[0].set_ylabel('Count') 
axes[0].grid(True, alpha=0.3) 
# Plot shampoo sales 
sns.lineplot( 
x=shampoo_df.index, 
y=shampoo_df['sales'], 
color='green', 
linewidth=2, 
ax=axes[1] 
) 
axes[1].set_title('Shampoo Sales') 
axes[1].set_ylabel('Sales') 
axes[1].grid(True, alpha=0.3) 
# Adjust layout 
plt.tight_layout() 
 </code>
    </pythonScript>
    <pythonScript>
      <code>shampoo_decomp = seasonal_decompose(shampoo_df['sales'], model='additive', period=12)
shampoo_decomp.plot()
plt.suptitle('Shampoo Sales Decomposition')
plt.tight_layout()</code>
    </pythonScript>
  </pythonScripts>
</python>
</file>

<file path=xl/sharedStrings.xml><?xml version="1.0" encoding="utf-8"?>
<sst xmlns="http://schemas.openxmlformats.org/spreadsheetml/2006/main" count="148" uniqueCount="147">
  <si>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</si>
  <si>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</si>
  <si>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</si>
  <si>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</si>
  <si>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</si>
  <si>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</si>
  <si>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</si>
  <si>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</si>
  <si>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</si>
  <si>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</si>
  <si>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</si>
  <si>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</si>
  <si>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</si>
  <si>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</si>
  <si>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</si>
  <si>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</si>
  <si>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</si>
  <si>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</si>
  <si>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</si>
  <si>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</si>
  <si>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</si>
  <si>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</si>
  <si>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</si>
  <si>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</si>
  <si>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</si>
  <si>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</si>
  <si>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</si>
  <si>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</si>
  <si>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</si>
  <si>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</si>
  <si>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</si>
  <si>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</si>
  <si>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</si>
  <si>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</si>
  <si>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</si>
  <si>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</si>
  <si>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</si>
  <si>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</si>
  <si>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</si>
  <si>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</si>
  <si>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</si>
  <si>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</si>
  <si>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</si>
  <si>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</si>
  <si>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</si>
  <si>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</si>
  <si>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</si>
  <si>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</si>
  <si>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</si>
  <si>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</si>
  <si>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</si>
  <si>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</si>
  <si>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</si>
  <si>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</si>
  <si>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</si>
  <si>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</si>
  <si>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</si>
  <si>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</si>
  <si>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</si>
  <si>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</si>
  <si>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</si>
  <si>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</si>
  <si>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</si>
  <si>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</si>
  <si>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</si>
  <si>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</si>
  <si>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</si>
  <si>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</si>
  <si>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</si>
  <si>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</si>
  <si>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</si>
  <si>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</si>
  <si>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</si>
  <si>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</si>
  <si>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</si>
  <si>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</si>
  <si>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</si>
  <si>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</si>
  <si>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</si>
  <si>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</si>
  <si>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</si>
  <si>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</si>
  <si>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</si>
  <si>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</si>
  <si>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</si>
  <si>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</si>
  <si>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</si>
  <si>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</si>
  <si>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</si>
  <si>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</si>
  <si>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</si>
  <si>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</si>
  <si>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</si>
  <si>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</si>
  <si>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</si>
  <si>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</si>
  <si>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</si>
  <si>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</si>
  <si>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</si>
  <si>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</si>
  <si>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</si>
  <si>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</si>
  <si>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</si>
  <si>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</si>
  <si>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</si>
  <si>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</si>
  <si>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</si>
  <si>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</si>
  <si>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</si>
  <si>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</si>
  <si>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</si>
  <si>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</si>
  <si>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</si>
  <si>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</si>
  <si>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</si>
  <si>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</si>
  <si>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</si>
  <si>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</si>
  <si>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</si>
  <si>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</si>
  <si>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</si>
  <si>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</si>
  <si>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</si>
  <si>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</si>
  <si>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</si>
  <si>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</si>
  <si>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</si>
  <si>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</si>
  <si>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</si>
  <si>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</si>
  <si>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</si>
  <si>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</si>
  <si>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</si>
  <si>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</si>
  <si>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</si>
  <si>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</si>
  <si>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</si>
  <si>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</si>
  <si>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</si>
  <si>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</si>
  <si>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</si>
  <si>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</si>
  <si>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</si>
  <si>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</si>
  <si>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date</t>
  </si>
  <si>
    <t>passengers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</si>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</sst>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top"/>
    </xf>
    <xf numFmtId="16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64" formatCode="yyyy\-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1001889</xdr:colOff>
      <xdr:row>102</xdr:row>
      <xdr:rowOff>254001</xdr:rowOff>
    </xdr:from>
    <xdr:to>
      <xdr:col>5</xdr:col>
      <xdr:colOff>144508</xdr:colOff>
      <xdr:row>117</xdr:row>
      <xdr:rowOff>857</xdr:rowOff>
    </xdr:to>
    <xdr:pic>
      <xdr:nvPicPr>
        <xdr:cNvPr id="6" name="Picture 5" descr="Image generated by Python">
          <a:extLst>
            <a:ext uri="{FF2B5EF4-FFF2-40B4-BE49-F238E27FC236}">
              <a16:creationId xmlns:a16="http://schemas.microsoft.com/office/drawing/2014/main" id="{81B65570-8D0C-A2BF-6E90-99DBB014894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0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889" y="10569223"/>
          <a:ext cx="5760731" cy="4297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14111</xdr:rowOff>
    </xdr:from>
    <xdr:to>
      <xdr:col>4</xdr:col>
      <xdr:colOff>144509</xdr:colOff>
      <xdr:row>149</xdr:row>
      <xdr:rowOff>64355</xdr:rowOff>
    </xdr:to>
    <xdr:pic>
      <xdr:nvPicPr>
        <xdr:cNvPr id="7" name="Picture 6" descr="Image generated by Python">
          <a:extLst>
            <a:ext uri="{FF2B5EF4-FFF2-40B4-BE49-F238E27FC236}">
              <a16:creationId xmlns:a16="http://schemas.microsoft.com/office/drawing/2014/main" id="{D9A92257-3E6B-79B1-0E5E-DCB53D70AF5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36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0999"/>
          <a:ext cx="5760731" cy="429768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1524000</xdr:colOff>
      <xdr:row>196</xdr:row>
      <xdr:rowOff>261054</xdr:rowOff>
    </xdr:from>
    <xdr:to>
      <xdr:col>5</xdr:col>
      <xdr:colOff>666619</xdr:colOff>
      <xdr:row>211</xdr:row>
      <xdr:rowOff>7910</xdr:rowOff>
    </xdr:to>
    <xdr:pic>
      <xdr:nvPicPr>
        <xdr:cNvPr id="8" name="Picture 7" descr="Image generated by Python">
          <a:extLst>
            <a:ext uri="{FF2B5EF4-FFF2-40B4-BE49-F238E27FC236}">
              <a16:creationId xmlns:a16="http://schemas.microsoft.com/office/drawing/2014/main" id="{0905674A-899C-8579-E52A-685A93AAE2B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96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39094832"/>
          <a:ext cx="5760731" cy="4297689"/>
        </a:xfrm>
        <a:prstGeom prst="rect">
          <a:avLst/>
        </a:prstGeom>
      </xdr:spPr>
    </xdr:pic>
    <xdr:clientData/>
  </xdr:twoCellAnchor>
  <xdr:twoCellAnchor editAs="oneCell">
    <xdr:from>
      <xdr:col>0</xdr:col>
      <xdr:colOff>2088445</xdr:colOff>
      <xdr:row>59</xdr:row>
      <xdr:rowOff>91722</xdr:rowOff>
    </xdr:from>
    <xdr:to>
      <xdr:col>6</xdr:col>
      <xdr:colOff>141112</xdr:colOff>
      <xdr:row>73</xdr:row>
      <xdr:rowOff>60478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6F9428AE-58BA-C0CA-4C63-230BBBCB957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60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8445" y="9800167"/>
          <a:ext cx="5651500" cy="4216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4</xdr:col>
      <xdr:colOff>144509</xdr:colOff>
      <xdr:row>30</xdr:row>
      <xdr:rowOff>50244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D7AE6D6B-4071-1EF7-9551-F0320D935CE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passengers_ts!A17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54222"/>
          <a:ext cx="5760731" cy="4297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795867</xdr:colOff>
      <xdr:row>23</xdr:row>
      <xdr:rowOff>8467</xdr:rowOff>
    </xdr:from>
    <xdr:to>
      <xdr:col>6</xdr:col>
      <xdr:colOff>637721</xdr:colOff>
      <xdr:row>37</xdr:row>
      <xdr:rowOff>84676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40D51FD7-F859-5CD3-6CED-6EA1D2BF188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ampoo_ts!A2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0676467"/>
          <a:ext cx="5751587" cy="43434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11</xdr:col>
      <xdr:colOff>53982</xdr:colOff>
      <xdr:row>20</xdr:row>
      <xdr:rowOff>228889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4FD7E82C-8FB0-598D-7934-A5F67574A01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ampoo_ts!A1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0500"/>
          <a:ext cx="10863094" cy="3566167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18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E9AA1-77C4-44CB-80EC-CCEE1A5E4B85}" name="passengers" displayName="passengers" ref="A1:B145" totalsRowShown="0">
  <autoFilter ref="A1:B145" xr:uid="{7FEE9AA1-77C4-44CB-80EC-CCEE1A5E4B85}"/>
  <tableColumns count="2">
    <tableColumn id="1" xr3:uid="{89C61804-E37F-46DC-843D-09FC2BF32AF1}" name="date" dataDxfId="1"/>
    <tableColumn id="2" xr3:uid="{D51D0BEF-BFC7-4F34-B98C-315FEBBB8A48}" name="passeng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0347D-7673-46D1-8207-A1D784ACEE59}" name="shampoo" displayName="shampoo" ref="A1:B37" totalsRowShown="0">
  <autoFilter ref="A1:B37" xr:uid="{8070347D-7673-46D1-8207-A1D784ACEE59}"/>
  <tableColumns count="2">
    <tableColumn id="1" xr3:uid="{4511BAD2-C5B8-4115-8ECF-666BFDD2B720}" name="date" dataDxfId="0"/>
    <tableColumn id="2" xr3:uid="{1B629950-5F4A-4F2E-B795-D39EC6984B4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C0CE-AC4D-4F0F-87BF-920A22749676}">
  <dimension ref="A1:B145"/>
  <sheetViews>
    <sheetView workbookViewId="0">
      <selection activeCell="D3" sqref="D3"/>
    </sheetView>
  </sheetViews>
  <sheetFormatPr defaultRowHeight="23.25" x14ac:dyDescent="0.7"/>
  <cols>
    <col min="1" max="1" width="8.6640625" style="1"/>
    <col min="2" max="2" width="12.08203125" customWidth="1"/>
    <col min="4" max="4" width="8.75" bestFit="1" customWidth="1"/>
  </cols>
  <sheetData>
    <row r="1" spans="1:2" x14ac:dyDescent="0.7">
      <c r="A1" s="1" t="s">
        <v>144</v>
      </c>
      <c r="B1" t="s">
        <v>145</v>
      </c>
    </row>
    <row r="2" spans="1:2" x14ac:dyDescent="0.7">
      <c r="A2" s="1" t="s">
        <v>0</v>
      </c>
      <c r="B2">
        <v>112</v>
      </c>
    </row>
    <row r="3" spans="1:2" x14ac:dyDescent="0.7">
      <c r="A3" s="1" t="s">
        <v>1</v>
      </c>
      <c r="B3">
        <v>118</v>
      </c>
    </row>
    <row r="4" spans="1:2" x14ac:dyDescent="0.7">
      <c r="A4" s="1" t="s">
        <v>2</v>
      </c>
      <c r="B4">
        <v>132</v>
      </c>
    </row>
    <row r="5" spans="1:2" x14ac:dyDescent="0.7">
      <c r="A5" s="1" t="s">
        <v>3</v>
      </c>
      <c r="B5">
        <v>129</v>
      </c>
    </row>
    <row r="6" spans="1:2" x14ac:dyDescent="0.7">
      <c r="A6" s="1" t="s">
        <v>4</v>
      </c>
      <c r="B6">
        <v>121</v>
      </c>
    </row>
    <row r="7" spans="1:2" x14ac:dyDescent="0.7">
      <c r="A7" s="1" t="s">
        <v>5</v>
      </c>
      <c r="B7">
        <v>135</v>
      </c>
    </row>
    <row r="8" spans="1:2" x14ac:dyDescent="0.7">
      <c r="A8" s="1" t="s">
        <v>6</v>
      </c>
      <c r="B8">
        <v>148</v>
      </c>
    </row>
    <row r="9" spans="1:2" x14ac:dyDescent="0.7">
      <c r="A9" s="1" t="s">
        <v>7</v>
      </c>
      <c r="B9">
        <v>148</v>
      </c>
    </row>
    <row r="10" spans="1:2" x14ac:dyDescent="0.7">
      <c r="A10" s="1" t="s">
        <v>8</v>
      </c>
      <c r="B10">
        <v>136</v>
      </c>
    </row>
    <row r="11" spans="1:2" x14ac:dyDescent="0.7">
      <c r="A11" s="1" t="s">
        <v>9</v>
      </c>
      <c r="B11">
        <v>119</v>
      </c>
    </row>
    <row r="12" spans="1:2" x14ac:dyDescent="0.7">
      <c r="A12" s="1" t="s">
        <v>10</v>
      </c>
      <c r="B12">
        <v>104</v>
      </c>
    </row>
    <row r="13" spans="1:2" x14ac:dyDescent="0.7">
      <c r="A13" s="1" t="s">
        <v>11</v>
      </c>
      <c r="B13">
        <v>118</v>
      </c>
    </row>
    <row r="14" spans="1:2" x14ac:dyDescent="0.7">
      <c r="A14" s="1" t="s">
        <v>12</v>
      </c>
      <c r="B14">
        <v>115</v>
      </c>
    </row>
    <row r="15" spans="1:2" x14ac:dyDescent="0.7">
      <c r="A15" s="1" t="s">
        <v>13</v>
      </c>
      <c r="B15">
        <v>126</v>
      </c>
    </row>
    <row r="16" spans="1:2" x14ac:dyDescent="0.7">
      <c r="A16" s="1" t="s">
        <v>14</v>
      </c>
      <c r="B16">
        <v>141</v>
      </c>
    </row>
    <row r="17" spans="1:2" x14ac:dyDescent="0.7">
      <c r="A17" s="1" t="s">
        <v>15</v>
      </c>
      <c r="B17">
        <v>135</v>
      </c>
    </row>
    <row r="18" spans="1:2" x14ac:dyDescent="0.7">
      <c r="A18" s="1" t="s">
        <v>16</v>
      </c>
      <c r="B18">
        <v>125</v>
      </c>
    </row>
    <row r="19" spans="1:2" x14ac:dyDescent="0.7">
      <c r="A19" s="1" t="s">
        <v>17</v>
      </c>
      <c r="B19">
        <v>149</v>
      </c>
    </row>
    <row r="20" spans="1:2" x14ac:dyDescent="0.7">
      <c r="A20" s="1" t="s">
        <v>18</v>
      </c>
      <c r="B20">
        <v>170</v>
      </c>
    </row>
    <row r="21" spans="1:2" x14ac:dyDescent="0.7">
      <c r="A21" s="1" t="s">
        <v>19</v>
      </c>
      <c r="B21">
        <v>170</v>
      </c>
    </row>
    <row r="22" spans="1:2" x14ac:dyDescent="0.7">
      <c r="A22" s="1" t="s">
        <v>20</v>
      </c>
      <c r="B22">
        <v>158</v>
      </c>
    </row>
    <row r="23" spans="1:2" x14ac:dyDescent="0.7">
      <c r="A23" s="1" t="s">
        <v>21</v>
      </c>
      <c r="B23">
        <v>133</v>
      </c>
    </row>
    <row r="24" spans="1:2" x14ac:dyDescent="0.7">
      <c r="A24" s="1" t="s">
        <v>22</v>
      </c>
      <c r="B24">
        <v>114</v>
      </c>
    </row>
    <row r="25" spans="1:2" x14ac:dyDescent="0.7">
      <c r="A25" s="1" t="s">
        <v>23</v>
      </c>
      <c r="B25">
        <v>140</v>
      </c>
    </row>
    <row r="26" spans="1:2" x14ac:dyDescent="0.7">
      <c r="A26" s="1" t="s">
        <v>24</v>
      </c>
      <c r="B26">
        <v>145</v>
      </c>
    </row>
    <row r="27" spans="1:2" x14ac:dyDescent="0.7">
      <c r="A27" s="1" t="s">
        <v>25</v>
      </c>
      <c r="B27">
        <v>150</v>
      </c>
    </row>
    <row r="28" spans="1:2" x14ac:dyDescent="0.7">
      <c r="A28" s="1" t="s">
        <v>26</v>
      </c>
      <c r="B28">
        <v>178</v>
      </c>
    </row>
    <row r="29" spans="1:2" x14ac:dyDescent="0.7">
      <c r="A29" s="1" t="s">
        <v>27</v>
      </c>
      <c r="B29">
        <v>163</v>
      </c>
    </row>
    <row r="30" spans="1:2" x14ac:dyDescent="0.7">
      <c r="A30" s="1" t="s">
        <v>28</v>
      </c>
      <c r="B30">
        <v>172</v>
      </c>
    </row>
    <row r="31" spans="1:2" x14ac:dyDescent="0.7">
      <c r="A31" s="1" t="s">
        <v>29</v>
      </c>
      <c r="B31">
        <v>178</v>
      </c>
    </row>
    <row r="32" spans="1:2" x14ac:dyDescent="0.7">
      <c r="A32" s="1" t="s">
        <v>30</v>
      </c>
      <c r="B32">
        <v>199</v>
      </c>
    </row>
    <row r="33" spans="1:2" x14ac:dyDescent="0.7">
      <c r="A33" s="1" t="s">
        <v>31</v>
      </c>
      <c r="B33">
        <v>199</v>
      </c>
    </row>
    <row r="34" spans="1:2" x14ac:dyDescent="0.7">
      <c r="A34" s="1" t="s">
        <v>32</v>
      </c>
      <c r="B34">
        <v>184</v>
      </c>
    </row>
    <row r="35" spans="1:2" x14ac:dyDescent="0.7">
      <c r="A35" s="1" t="s">
        <v>33</v>
      </c>
      <c r="B35">
        <v>162</v>
      </c>
    </row>
    <row r="36" spans="1:2" x14ac:dyDescent="0.7">
      <c r="A36" s="1" t="s">
        <v>34</v>
      </c>
      <c r="B36">
        <v>146</v>
      </c>
    </row>
    <row r="37" spans="1:2" x14ac:dyDescent="0.7">
      <c r="A37" s="1" t="s">
        <v>35</v>
      </c>
      <c r="B37">
        <v>166</v>
      </c>
    </row>
    <row r="38" spans="1:2" x14ac:dyDescent="0.7">
      <c r="A38" s="1" t="s">
        <v>36</v>
      </c>
      <c r="B38">
        <v>171</v>
      </c>
    </row>
    <row r="39" spans="1:2" x14ac:dyDescent="0.7">
      <c r="A39" s="1" t="s">
        <v>37</v>
      </c>
      <c r="B39">
        <v>180</v>
      </c>
    </row>
    <row r="40" spans="1:2" x14ac:dyDescent="0.7">
      <c r="A40" s="1" t="s">
        <v>38</v>
      </c>
      <c r="B40">
        <v>193</v>
      </c>
    </row>
    <row r="41" spans="1:2" x14ac:dyDescent="0.7">
      <c r="A41" s="1" t="s">
        <v>39</v>
      </c>
      <c r="B41">
        <v>181</v>
      </c>
    </row>
    <row r="42" spans="1:2" x14ac:dyDescent="0.7">
      <c r="A42" s="1" t="s">
        <v>40</v>
      </c>
      <c r="B42">
        <v>183</v>
      </c>
    </row>
    <row r="43" spans="1:2" x14ac:dyDescent="0.7">
      <c r="A43" s="1" t="s">
        <v>41</v>
      </c>
      <c r="B43">
        <v>218</v>
      </c>
    </row>
    <row r="44" spans="1:2" x14ac:dyDescent="0.7">
      <c r="A44" s="1" t="s">
        <v>42</v>
      </c>
      <c r="B44">
        <v>230</v>
      </c>
    </row>
    <row r="45" spans="1:2" x14ac:dyDescent="0.7">
      <c r="A45" s="1" t="s">
        <v>43</v>
      </c>
      <c r="B45">
        <v>242</v>
      </c>
    </row>
    <row r="46" spans="1:2" x14ac:dyDescent="0.7">
      <c r="A46" s="1" t="s">
        <v>44</v>
      </c>
      <c r="B46">
        <v>209</v>
      </c>
    </row>
    <row r="47" spans="1:2" x14ac:dyDescent="0.7">
      <c r="A47" s="1" t="s">
        <v>45</v>
      </c>
      <c r="B47">
        <v>191</v>
      </c>
    </row>
    <row r="48" spans="1:2" x14ac:dyDescent="0.7">
      <c r="A48" s="1" t="s">
        <v>46</v>
      </c>
      <c r="B48">
        <v>172</v>
      </c>
    </row>
    <row r="49" spans="1:2" x14ac:dyDescent="0.7">
      <c r="A49" s="1" t="s">
        <v>47</v>
      </c>
      <c r="B49">
        <v>194</v>
      </c>
    </row>
    <row r="50" spans="1:2" x14ac:dyDescent="0.7">
      <c r="A50" s="1" t="s">
        <v>48</v>
      </c>
      <c r="B50">
        <v>196</v>
      </c>
    </row>
    <row r="51" spans="1:2" x14ac:dyDescent="0.7">
      <c r="A51" s="1" t="s">
        <v>49</v>
      </c>
      <c r="B51">
        <v>196</v>
      </c>
    </row>
    <row r="52" spans="1:2" x14ac:dyDescent="0.7">
      <c r="A52" s="1" t="s">
        <v>50</v>
      </c>
      <c r="B52">
        <v>236</v>
      </c>
    </row>
    <row r="53" spans="1:2" x14ac:dyDescent="0.7">
      <c r="A53" s="1" t="s">
        <v>51</v>
      </c>
      <c r="B53">
        <v>235</v>
      </c>
    </row>
    <row r="54" spans="1:2" x14ac:dyDescent="0.7">
      <c r="A54" s="1" t="s">
        <v>52</v>
      </c>
      <c r="B54">
        <v>229</v>
      </c>
    </row>
    <row r="55" spans="1:2" x14ac:dyDescent="0.7">
      <c r="A55" s="1" t="s">
        <v>53</v>
      </c>
      <c r="B55">
        <v>243</v>
      </c>
    </row>
    <row r="56" spans="1:2" x14ac:dyDescent="0.7">
      <c r="A56" s="1" t="s">
        <v>54</v>
      </c>
      <c r="B56">
        <v>264</v>
      </c>
    </row>
    <row r="57" spans="1:2" x14ac:dyDescent="0.7">
      <c r="A57" s="1" t="s">
        <v>55</v>
      </c>
      <c r="B57">
        <v>272</v>
      </c>
    </row>
    <row r="58" spans="1:2" x14ac:dyDescent="0.7">
      <c r="A58" s="1" t="s">
        <v>56</v>
      </c>
      <c r="B58">
        <v>237</v>
      </c>
    </row>
    <row r="59" spans="1:2" x14ac:dyDescent="0.7">
      <c r="A59" s="1" t="s">
        <v>57</v>
      </c>
      <c r="B59">
        <v>211</v>
      </c>
    </row>
    <row r="60" spans="1:2" x14ac:dyDescent="0.7">
      <c r="A60" s="1" t="s">
        <v>58</v>
      </c>
      <c r="B60">
        <v>180</v>
      </c>
    </row>
    <row r="61" spans="1:2" x14ac:dyDescent="0.7">
      <c r="A61" s="1" t="s">
        <v>59</v>
      </c>
      <c r="B61">
        <v>201</v>
      </c>
    </row>
    <row r="62" spans="1:2" x14ac:dyDescent="0.7">
      <c r="A62" s="1" t="s">
        <v>60</v>
      </c>
      <c r="B62">
        <v>204</v>
      </c>
    </row>
    <row r="63" spans="1:2" x14ac:dyDescent="0.7">
      <c r="A63" s="1" t="s">
        <v>61</v>
      </c>
      <c r="B63">
        <v>188</v>
      </c>
    </row>
    <row r="64" spans="1:2" x14ac:dyDescent="0.7">
      <c r="A64" s="1" t="s">
        <v>62</v>
      </c>
      <c r="B64">
        <v>235</v>
      </c>
    </row>
    <row r="65" spans="1:2" x14ac:dyDescent="0.7">
      <c r="A65" s="1" t="s">
        <v>63</v>
      </c>
      <c r="B65">
        <v>227</v>
      </c>
    </row>
    <row r="66" spans="1:2" x14ac:dyDescent="0.7">
      <c r="A66" s="1" t="s">
        <v>64</v>
      </c>
      <c r="B66">
        <v>234</v>
      </c>
    </row>
    <row r="67" spans="1:2" x14ac:dyDescent="0.7">
      <c r="A67" s="1" t="s">
        <v>65</v>
      </c>
      <c r="B67">
        <v>264</v>
      </c>
    </row>
    <row r="68" spans="1:2" x14ac:dyDescent="0.7">
      <c r="A68" s="1" t="s">
        <v>66</v>
      </c>
      <c r="B68">
        <v>302</v>
      </c>
    </row>
    <row r="69" spans="1:2" x14ac:dyDescent="0.7">
      <c r="A69" s="1" t="s">
        <v>67</v>
      </c>
      <c r="B69">
        <v>293</v>
      </c>
    </row>
    <row r="70" spans="1:2" x14ac:dyDescent="0.7">
      <c r="A70" s="1" t="s">
        <v>68</v>
      </c>
      <c r="B70">
        <v>259</v>
      </c>
    </row>
    <row r="71" spans="1:2" x14ac:dyDescent="0.7">
      <c r="A71" s="1" t="s">
        <v>69</v>
      </c>
      <c r="B71">
        <v>229</v>
      </c>
    </row>
    <row r="72" spans="1:2" x14ac:dyDescent="0.7">
      <c r="A72" s="1" t="s">
        <v>70</v>
      </c>
      <c r="B72">
        <v>203</v>
      </c>
    </row>
    <row r="73" spans="1:2" x14ac:dyDescent="0.7">
      <c r="A73" s="1" t="s">
        <v>71</v>
      </c>
      <c r="B73">
        <v>229</v>
      </c>
    </row>
    <row r="74" spans="1:2" x14ac:dyDescent="0.7">
      <c r="A74" s="1" t="s">
        <v>72</v>
      </c>
      <c r="B74">
        <v>242</v>
      </c>
    </row>
    <row r="75" spans="1:2" x14ac:dyDescent="0.7">
      <c r="A75" s="1" t="s">
        <v>73</v>
      </c>
      <c r="B75">
        <v>233</v>
      </c>
    </row>
    <row r="76" spans="1:2" x14ac:dyDescent="0.7">
      <c r="A76" s="1" t="s">
        <v>74</v>
      </c>
      <c r="B76">
        <v>267</v>
      </c>
    </row>
    <row r="77" spans="1:2" x14ac:dyDescent="0.7">
      <c r="A77" s="1" t="s">
        <v>75</v>
      </c>
      <c r="B77">
        <v>269</v>
      </c>
    </row>
    <row r="78" spans="1:2" x14ac:dyDescent="0.7">
      <c r="A78" s="1" t="s">
        <v>76</v>
      </c>
      <c r="B78">
        <v>270</v>
      </c>
    </row>
    <row r="79" spans="1:2" x14ac:dyDescent="0.7">
      <c r="A79" s="1" t="s">
        <v>77</v>
      </c>
      <c r="B79">
        <v>315</v>
      </c>
    </row>
    <row r="80" spans="1:2" x14ac:dyDescent="0.7">
      <c r="A80" s="1" t="s">
        <v>78</v>
      </c>
      <c r="B80">
        <v>364</v>
      </c>
    </row>
    <row r="81" spans="1:2" x14ac:dyDescent="0.7">
      <c r="A81" s="1" t="s">
        <v>79</v>
      </c>
      <c r="B81">
        <v>347</v>
      </c>
    </row>
    <row r="82" spans="1:2" x14ac:dyDescent="0.7">
      <c r="A82" s="1" t="s">
        <v>80</v>
      </c>
      <c r="B82">
        <v>312</v>
      </c>
    </row>
    <row r="83" spans="1:2" x14ac:dyDescent="0.7">
      <c r="A83" s="1" t="s">
        <v>81</v>
      </c>
      <c r="B83">
        <v>274</v>
      </c>
    </row>
    <row r="84" spans="1:2" x14ac:dyDescent="0.7">
      <c r="A84" s="1" t="s">
        <v>82</v>
      </c>
      <c r="B84">
        <v>237</v>
      </c>
    </row>
    <row r="85" spans="1:2" x14ac:dyDescent="0.7">
      <c r="A85" s="1" t="s">
        <v>83</v>
      </c>
      <c r="B85">
        <v>278</v>
      </c>
    </row>
    <row r="86" spans="1:2" x14ac:dyDescent="0.7">
      <c r="A86" s="1" t="s">
        <v>84</v>
      </c>
      <c r="B86">
        <v>284</v>
      </c>
    </row>
    <row r="87" spans="1:2" x14ac:dyDescent="0.7">
      <c r="A87" s="1" t="s">
        <v>85</v>
      </c>
      <c r="B87">
        <v>277</v>
      </c>
    </row>
    <row r="88" spans="1:2" x14ac:dyDescent="0.7">
      <c r="A88" s="1" t="s">
        <v>86</v>
      </c>
      <c r="B88">
        <v>317</v>
      </c>
    </row>
    <row r="89" spans="1:2" x14ac:dyDescent="0.7">
      <c r="A89" s="1" t="s">
        <v>87</v>
      </c>
      <c r="B89">
        <v>313</v>
      </c>
    </row>
    <row r="90" spans="1:2" x14ac:dyDescent="0.7">
      <c r="A90" s="1" t="s">
        <v>88</v>
      </c>
      <c r="B90">
        <v>318</v>
      </c>
    </row>
    <row r="91" spans="1:2" x14ac:dyDescent="0.7">
      <c r="A91" s="1" t="s">
        <v>89</v>
      </c>
      <c r="B91">
        <v>374</v>
      </c>
    </row>
    <row r="92" spans="1:2" x14ac:dyDescent="0.7">
      <c r="A92" s="1" t="s">
        <v>90</v>
      </c>
      <c r="B92">
        <v>413</v>
      </c>
    </row>
    <row r="93" spans="1:2" x14ac:dyDescent="0.7">
      <c r="A93" s="1" t="s">
        <v>91</v>
      </c>
      <c r="B93">
        <v>405</v>
      </c>
    </row>
    <row r="94" spans="1:2" x14ac:dyDescent="0.7">
      <c r="A94" s="1" t="s">
        <v>92</v>
      </c>
      <c r="B94">
        <v>355</v>
      </c>
    </row>
    <row r="95" spans="1:2" x14ac:dyDescent="0.7">
      <c r="A95" s="1" t="s">
        <v>93</v>
      </c>
      <c r="B95">
        <v>306</v>
      </c>
    </row>
    <row r="96" spans="1:2" x14ac:dyDescent="0.7">
      <c r="A96" s="1" t="s">
        <v>94</v>
      </c>
      <c r="B96">
        <v>271</v>
      </c>
    </row>
    <row r="97" spans="1:2" x14ac:dyDescent="0.7">
      <c r="A97" s="1" t="s">
        <v>95</v>
      </c>
      <c r="B97">
        <v>306</v>
      </c>
    </row>
    <row r="98" spans="1:2" x14ac:dyDescent="0.7">
      <c r="A98" s="1" t="s">
        <v>96</v>
      </c>
      <c r="B98">
        <v>315</v>
      </c>
    </row>
    <row r="99" spans="1:2" x14ac:dyDescent="0.7">
      <c r="A99" s="1" t="s">
        <v>97</v>
      </c>
      <c r="B99">
        <v>301</v>
      </c>
    </row>
    <row r="100" spans="1:2" x14ac:dyDescent="0.7">
      <c r="A100" s="1" t="s">
        <v>98</v>
      </c>
      <c r="B100">
        <v>356</v>
      </c>
    </row>
    <row r="101" spans="1:2" x14ac:dyDescent="0.7">
      <c r="A101" s="1" t="s">
        <v>99</v>
      </c>
      <c r="B101">
        <v>348</v>
      </c>
    </row>
    <row r="102" spans="1:2" x14ac:dyDescent="0.7">
      <c r="A102" s="1" t="s">
        <v>100</v>
      </c>
      <c r="B102">
        <v>355</v>
      </c>
    </row>
    <row r="103" spans="1:2" x14ac:dyDescent="0.7">
      <c r="A103" s="1" t="s">
        <v>101</v>
      </c>
      <c r="B103">
        <v>422</v>
      </c>
    </row>
    <row r="104" spans="1:2" x14ac:dyDescent="0.7">
      <c r="A104" s="1" t="s">
        <v>102</v>
      </c>
      <c r="B104">
        <v>465</v>
      </c>
    </row>
    <row r="105" spans="1:2" x14ac:dyDescent="0.7">
      <c r="A105" s="1" t="s">
        <v>103</v>
      </c>
      <c r="B105">
        <v>467</v>
      </c>
    </row>
    <row r="106" spans="1:2" x14ac:dyDescent="0.7">
      <c r="A106" s="1" t="s">
        <v>104</v>
      </c>
      <c r="B106">
        <v>404</v>
      </c>
    </row>
    <row r="107" spans="1:2" x14ac:dyDescent="0.7">
      <c r="A107" s="1" t="s">
        <v>105</v>
      </c>
      <c r="B107">
        <v>347</v>
      </c>
    </row>
    <row r="108" spans="1:2" x14ac:dyDescent="0.7">
      <c r="A108" s="1" t="s">
        <v>106</v>
      </c>
      <c r="B108">
        <v>305</v>
      </c>
    </row>
    <row r="109" spans="1:2" x14ac:dyDescent="0.7">
      <c r="A109" s="1" t="s">
        <v>107</v>
      </c>
      <c r="B109">
        <v>336</v>
      </c>
    </row>
    <row r="110" spans="1:2" x14ac:dyDescent="0.7">
      <c r="A110" s="1" t="s">
        <v>108</v>
      </c>
      <c r="B110">
        <v>340</v>
      </c>
    </row>
    <row r="111" spans="1:2" x14ac:dyDescent="0.7">
      <c r="A111" s="1" t="s">
        <v>109</v>
      </c>
      <c r="B111">
        <v>318</v>
      </c>
    </row>
    <row r="112" spans="1:2" x14ac:dyDescent="0.7">
      <c r="A112" s="1" t="s">
        <v>110</v>
      </c>
      <c r="B112">
        <v>362</v>
      </c>
    </row>
    <row r="113" spans="1:2" x14ac:dyDescent="0.7">
      <c r="A113" s="1" t="s">
        <v>111</v>
      </c>
      <c r="B113">
        <v>348</v>
      </c>
    </row>
    <row r="114" spans="1:2" x14ac:dyDescent="0.7">
      <c r="A114" s="1" t="s">
        <v>112</v>
      </c>
      <c r="B114">
        <v>363</v>
      </c>
    </row>
    <row r="115" spans="1:2" x14ac:dyDescent="0.7">
      <c r="A115" s="1" t="s">
        <v>113</v>
      </c>
      <c r="B115">
        <v>435</v>
      </c>
    </row>
    <row r="116" spans="1:2" x14ac:dyDescent="0.7">
      <c r="A116" s="1" t="s">
        <v>114</v>
      </c>
      <c r="B116">
        <v>491</v>
      </c>
    </row>
    <row r="117" spans="1:2" x14ac:dyDescent="0.7">
      <c r="A117" s="1" t="s">
        <v>115</v>
      </c>
      <c r="B117">
        <v>505</v>
      </c>
    </row>
    <row r="118" spans="1:2" x14ac:dyDescent="0.7">
      <c r="A118" s="1" t="s">
        <v>116</v>
      </c>
      <c r="B118">
        <v>404</v>
      </c>
    </row>
    <row r="119" spans="1:2" x14ac:dyDescent="0.7">
      <c r="A119" s="1" t="s">
        <v>117</v>
      </c>
      <c r="B119">
        <v>359</v>
      </c>
    </row>
    <row r="120" spans="1:2" x14ac:dyDescent="0.7">
      <c r="A120" s="1" t="s">
        <v>118</v>
      </c>
      <c r="B120">
        <v>310</v>
      </c>
    </row>
    <row r="121" spans="1:2" x14ac:dyDescent="0.7">
      <c r="A121" s="1" t="s">
        <v>119</v>
      </c>
      <c r="B121">
        <v>337</v>
      </c>
    </row>
    <row r="122" spans="1:2" x14ac:dyDescent="0.7">
      <c r="A122" s="1" t="s">
        <v>120</v>
      </c>
      <c r="B122">
        <v>360</v>
      </c>
    </row>
    <row r="123" spans="1:2" x14ac:dyDescent="0.7">
      <c r="A123" s="1" t="s">
        <v>121</v>
      </c>
      <c r="B123">
        <v>342</v>
      </c>
    </row>
    <row r="124" spans="1:2" x14ac:dyDescent="0.7">
      <c r="A124" s="1" t="s">
        <v>122</v>
      </c>
      <c r="B124">
        <v>406</v>
      </c>
    </row>
    <row r="125" spans="1:2" x14ac:dyDescent="0.7">
      <c r="A125" s="1" t="s">
        <v>123</v>
      </c>
      <c r="B125">
        <v>396</v>
      </c>
    </row>
    <row r="126" spans="1:2" x14ac:dyDescent="0.7">
      <c r="A126" s="1" t="s">
        <v>124</v>
      </c>
      <c r="B126">
        <v>420</v>
      </c>
    </row>
    <row r="127" spans="1:2" x14ac:dyDescent="0.7">
      <c r="A127" s="1" t="s">
        <v>125</v>
      </c>
      <c r="B127">
        <v>472</v>
      </c>
    </row>
    <row r="128" spans="1:2" x14ac:dyDescent="0.7">
      <c r="A128" s="1" t="s">
        <v>126</v>
      </c>
      <c r="B128">
        <v>548</v>
      </c>
    </row>
    <row r="129" spans="1:2" x14ac:dyDescent="0.7">
      <c r="A129" s="1" t="s">
        <v>127</v>
      </c>
      <c r="B129">
        <v>559</v>
      </c>
    </row>
    <row r="130" spans="1:2" x14ac:dyDescent="0.7">
      <c r="A130" s="1" t="s">
        <v>128</v>
      </c>
      <c r="B130">
        <v>463</v>
      </c>
    </row>
    <row r="131" spans="1:2" x14ac:dyDescent="0.7">
      <c r="A131" s="1" t="s">
        <v>129</v>
      </c>
      <c r="B131">
        <v>407</v>
      </c>
    </row>
    <row r="132" spans="1:2" x14ac:dyDescent="0.7">
      <c r="A132" s="1" t="s">
        <v>130</v>
      </c>
      <c r="B132">
        <v>362</v>
      </c>
    </row>
    <row r="133" spans="1:2" x14ac:dyDescent="0.7">
      <c r="A133" s="1" t="s">
        <v>131</v>
      </c>
      <c r="B133">
        <v>405</v>
      </c>
    </row>
    <row r="134" spans="1:2" x14ac:dyDescent="0.7">
      <c r="A134" s="1" t="s">
        <v>132</v>
      </c>
      <c r="B134">
        <v>417</v>
      </c>
    </row>
    <row r="135" spans="1:2" x14ac:dyDescent="0.7">
      <c r="A135" s="1" t="s">
        <v>133</v>
      </c>
      <c r="B135">
        <v>391</v>
      </c>
    </row>
    <row r="136" spans="1:2" x14ac:dyDescent="0.7">
      <c r="A136" s="1" t="s">
        <v>134</v>
      </c>
      <c r="B136">
        <v>419</v>
      </c>
    </row>
    <row r="137" spans="1:2" x14ac:dyDescent="0.7">
      <c r="A137" s="1" t="s">
        <v>135</v>
      </c>
      <c r="B137">
        <v>461</v>
      </c>
    </row>
    <row r="138" spans="1:2" x14ac:dyDescent="0.7">
      <c r="A138" s="1" t="s">
        <v>136</v>
      </c>
      <c r="B138">
        <v>472</v>
      </c>
    </row>
    <row r="139" spans="1:2" x14ac:dyDescent="0.7">
      <c r="A139" s="1" t="s">
        <v>137</v>
      </c>
      <c r="B139">
        <v>535</v>
      </c>
    </row>
    <row r="140" spans="1:2" x14ac:dyDescent="0.7">
      <c r="A140" s="1" t="s">
        <v>138</v>
      </c>
      <c r="B140">
        <v>622</v>
      </c>
    </row>
    <row r="141" spans="1:2" x14ac:dyDescent="0.7">
      <c r="A141" s="1" t="s">
        <v>139</v>
      </c>
      <c r="B141">
        <v>606</v>
      </c>
    </row>
    <row r="142" spans="1:2" x14ac:dyDescent="0.7">
      <c r="A142" s="1" t="s">
        <v>140</v>
      </c>
      <c r="B142">
        <v>508</v>
      </c>
    </row>
    <row r="143" spans="1:2" x14ac:dyDescent="0.7">
      <c r="A143" s="1" t="s">
        <v>141</v>
      </c>
      <c r="B143">
        <v>461</v>
      </c>
    </row>
    <row r="144" spans="1:2" x14ac:dyDescent="0.7">
      <c r="A144" s="1" t="s">
        <v>142</v>
      </c>
      <c r="B144">
        <v>390</v>
      </c>
    </row>
    <row r="145" spans="1:2" x14ac:dyDescent="0.7">
      <c r="A145" s="1" t="s">
        <v>143</v>
      </c>
      <c r="B145">
        <v>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59EF-DBD7-449D-AE98-3E439228E9FA}">
  <dimension ref="A1:C196"/>
  <sheetViews>
    <sheetView topLeftCell="A115" zoomScale="60" zoomScaleNormal="60" workbookViewId="0">
      <selection activeCell="E125" sqref="E125"/>
    </sheetView>
  </sheetViews>
  <sheetFormatPr defaultRowHeight="23.25" x14ac:dyDescent="0.7"/>
  <cols>
    <col min="1" max="1" width="18.9140625" style="3" customWidth="1"/>
    <col min="2" max="2" width="9.75" bestFit="1" customWidth="1"/>
    <col min="3" max="3" width="11.83203125" customWidth="1"/>
    <col min="5" max="5" width="8.75" bestFit="1" customWidth="1"/>
  </cols>
  <sheetData>
    <row r="1" spans="1:2" x14ac:dyDescent="0.7">
      <c r="A1" s="3" t="e" cm="1" vm="1">
        <f t="array" ref="A1">_xlfn._xlws.PY(0,0,passengers[#All])</f>
        <v>#VALUE!</v>
      </c>
    </row>
    <row r="9" spans="1:2" x14ac:dyDescent="0.7">
      <c r="A9" s="3" t="e" cm="1" vm="1">
        <f t="array" ref="A9">_xlfn._xlws.PY(1,0)</f>
        <v>#VALUE!</v>
      </c>
    </row>
    <row r="10" spans="1:2" x14ac:dyDescent="0.7">
      <c r="B10" s="6"/>
    </row>
    <row r="11" spans="1:2" x14ac:dyDescent="0.7">
      <c r="B11" s="6"/>
    </row>
    <row r="12" spans="1:2" x14ac:dyDescent="0.7">
      <c r="B12" s="6"/>
    </row>
    <row r="13" spans="1:2" x14ac:dyDescent="0.7">
      <c r="B13" s="6"/>
    </row>
    <row r="14" spans="1:2" x14ac:dyDescent="0.7">
      <c r="B14" s="6"/>
    </row>
    <row r="15" spans="1:2" x14ac:dyDescent="0.7">
      <c r="B15" s="6"/>
    </row>
    <row r="17" spans="1:1" x14ac:dyDescent="0.7">
      <c r="A17" s="3" t="e" cm="1" vm="1">
        <f t="array" ref="A17">_xlfn._xlws.PY(2,0)</f>
        <v>#VALUE!</v>
      </c>
    </row>
    <row r="44" spans="1:3" x14ac:dyDescent="0.7">
      <c r="A44" s="3" t="e" cm="1" vm="1">
        <f t="array" ref="A44">_xlfn._xlws.PY(3,0)</f>
        <v>#VALUE!</v>
      </c>
      <c r="C44" s="6"/>
    </row>
    <row r="45" spans="1:3" x14ac:dyDescent="0.7">
      <c r="C45" s="6"/>
    </row>
    <row r="46" spans="1:3" x14ac:dyDescent="0.7">
      <c r="C46" s="6"/>
    </row>
    <row r="47" spans="1:3" x14ac:dyDescent="0.7">
      <c r="C47" s="6"/>
    </row>
    <row r="48" spans="1:3" x14ac:dyDescent="0.7">
      <c r="C48" s="6"/>
    </row>
    <row r="49" spans="1:3" x14ac:dyDescent="0.7">
      <c r="C49" s="6"/>
    </row>
    <row r="50" spans="1:3" x14ac:dyDescent="0.7">
      <c r="C50" s="6"/>
    </row>
    <row r="51" spans="1:3" x14ac:dyDescent="0.7">
      <c r="C51" s="6"/>
    </row>
    <row r="52" spans="1:3" x14ac:dyDescent="0.7">
      <c r="C52" s="6"/>
    </row>
    <row r="53" spans="1:3" x14ac:dyDescent="0.7">
      <c r="C53" s="6"/>
    </row>
    <row r="54" spans="1:3" x14ac:dyDescent="0.7">
      <c r="C54" s="6"/>
    </row>
    <row r="55" spans="1:3" x14ac:dyDescent="0.7">
      <c r="C55" s="6"/>
    </row>
    <row r="56" spans="1:3" x14ac:dyDescent="0.7">
      <c r="C56" s="6"/>
    </row>
    <row r="57" spans="1:3" x14ac:dyDescent="0.7">
      <c r="C57" s="6"/>
    </row>
    <row r="58" spans="1:3" x14ac:dyDescent="0.7">
      <c r="C58" s="6"/>
    </row>
    <row r="60" spans="1:3" x14ac:dyDescent="0.7">
      <c r="A60" s="3" t="e" cm="1" vm="1">
        <f t="array" ref="A60">_xlfn._xlws.PY(4,0)</f>
        <v>#VALUE!</v>
      </c>
    </row>
    <row r="86" spans="1:2" x14ac:dyDescent="0.7">
      <c r="A86" s="3" t="e" cm="1" vm="1">
        <f t="array" ref="A86">_xlfn._xlws.PY(5,0)</f>
        <v>#VALUE!</v>
      </c>
      <c r="B86" s="5"/>
    </row>
    <row r="87" spans="1:2" x14ac:dyDescent="0.7">
      <c r="B87" s="5"/>
    </row>
    <row r="88" spans="1:2" x14ac:dyDescent="0.7">
      <c r="B88" s="5"/>
    </row>
    <row r="89" spans="1:2" x14ac:dyDescent="0.7">
      <c r="B89" s="5"/>
    </row>
    <row r="90" spans="1:2" x14ac:dyDescent="0.7">
      <c r="B90" s="5"/>
    </row>
    <row r="91" spans="1:2" x14ac:dyDescent="0.7">
      <c r="B91" s="5"/>
    </row>
    <row r="92" spans="1:2" x14ac:dyDescent="0.7">
      <c r="B92" s="5"/>
    </row>
    <row r="93" spans="1:2" x14ac:dyDescent="0.7">
      <c r="B93" s="5"/>
    </row>
    <row r="94" spans="1:2" x14ac:dyDescent="0.7">
      <c r="B94" s="5"/>
    </row>
    <row r="95" spans="1:2" x14ac:dyDescent="0.7">
      <c r="B95" s="5"/>
    </row>
    <row r="96" spans="1:2" x14ac:dyDescent="0.7">
      <c r="B96" s="5"/>
    </row>
    <row r="97" spans="1:2" x14ac:dyDescent="0.7">
      <c r="B97" s="5"/>
    </row>
    <row r="98" spans="1:2" x14ac:dyDescent="0.7">
      <c r="B98" s="5"/>
    </row>
    <row r="99" spans="1:2" x14ac:dyDescent="0.7">
      <c r="B99" s="5"/>
    </row>
    <row r="100" spans="1:2" x14ac:dyDescent="0.7">
      <c r="B100" s="5"/>
    </row>
    <row r="101" spans="1:2" x14ac:dyDescent="0.7">
      <c r="B101" s="5"/>
    </row>
    <row r="104" spans="1:2" x14ac:dyDescent="0.7">
      <c r="A104" s="3" t="e" cm="1" vm="1">
        <f t="array" ref="A104">_xlfn._xlws.PY(6,0)</f>
        <v>#VALUE!</v>
      </c>
    </row>
    <row r="119" spans="1:2" x14ac:dyDescent="0.7">
      <c r="B119" s="6"/>
    </row>
    <row r="120" spans="1:2" x14ac:dyDescent="0.7">
      <c r="A120" s="3" t="e" cm="1" vm="1">
        <f t="array" ref="A120">_xlfn._xlws.PY(7,0)</f>
        <v>#VALUE!</v>
      </c>
      <c r="B120" s="6"/>
    </row>
    <row r="121" spans="1:2" x14ac:dyDescent="0.7">
      <c r="B121" s="6"/>
    </row>
    <row r="122" spans="1:2" x14ac:dyDescent="0.7">
      <c r="B122" s="6"/>
    </row>
    <row r="123" spans="1:2" x14ac:dyDescent="0.7">
      <c r="B123" s="6"/>
    </row>
    <row r="124" spans="1:2" x14ac:dyDescent="0.7">
      <c r="B124" s="6"/>
    </row>
    <row r="125" spans="1:2" x14ac:dyDescent="0.7">
      <c r="B125" s="6"/>
    </row>
    <row r="126" spans="1:2" x14ac:dyDescent="0.7">
      <c r="B126" s="6"/>
    </row>
    <row r="127" spans="1:2" x14ac:dyDescent="0.7">
      <c r="B127" s="6"/>
    </row>
    <row r="128" spans="1:2" x14ac:dyDescent="0.7">
      <c r="B128" s="6"/>
    </row>
    <row r="129" spans="1:2" x14ac:dyDescent="0.7">
      <c r="B129" s="6"/>
    </row>
    <row r="130" spans="1:2" x14ac:dyDescent="0.7">
      <c r="B130" s="6"/>
    </row>
    <row r="132" spans="1:2" x14ac:dyDescent="0.7">
      <c r="A132" s="3" t="e" cm="1" vm="1">
        <f t="array" ref="A132">_xlfn._xlws.PY(8,1)</f>
        <v>#VALUE!</v>
      </c>
    </row>
    <row r="136" spans="1:2" x14ac:dyDescent="0.7">
      <c r="A136" s="3" t="e" cm="1" vm="1">
        <f t="array" ref="A136">_xlfn._xlws.PY(9,0)</f>
        <v>#VALUE!</v>
      </c>
    </row>
    <row r="138" spans="1:2" x14ac:dyDescent="0.7">
      <c r="A138" s="3" t="e" cm="1" vm="1">
        <f t="array" ref="A138">_xlfn._xlws.PY(10,0)</f>
        <v>#VALUE!</v>
      </c>
    </row>
    <row r="145" spans="1:2" x14ac:dyDescent="0.7">
      <c r="A145" s="3" t="e" cm="1" vm="1">
        <f t="array" ref="A145">_xlfn._xlws.PY(11,0)</f>
        <v>#VALUE!</v>
      </c>
    </row>
    <row r="153" spans="1:2" x14ac:dyDescent="0.7">
      <c r="A153" s="3" t="e" cm="1" vm="1">
        <f t="array" ref="A153">_xlfn._xlws.PY(12,0)</f>
        <v>#VALUE!</v>
      </c>
    </row>
    <row r="154" spans="1:2" x14ac:dyDescent="0.7">
      <c r="B154" s="6"/>
    </row>
    <row r="155" spans="1:2" x14ac:dyDescent="0.7">
      <c r="B155" s="6"/>
    </row>
    <row r="157" spans="1:2" x14ac:dyDescent="0.7">
      <c r="A157" s="3" t="e" cm="1" vm="1">
        <f t="array" ref="A157">_xlfn._xlws.PY(13,1)</f>
        <v>#VALUE!</v>
      </c>
    </row>
    <row r="159" spans="1:2" x14ac:dyDescent="0.7">
      <c r="A159" s="3" t="e" cm="1" vm="1">
        <f t="array" ref="A159">_xlfn._xlws.PY(14,1)</f>
        <v>#VALUE!</v>
      </c>
    </row>
    <row r="161" spans="1:3" x14ac:dyDescent="0.7">
      <c r="A161" s="3" t="e" cm="1" vm="1">
        <f t="array" ref="A161">_xlfn._xlws.PY(15,0)</f>
        <v>#VALUE!</v>
      </c>
      <c r="B161" s="6"/>
    </row>
    <row r="162" spans="1:3" x14ac:dyDescent="0.7">
      <c r="B162" s="6"/>
    </row>
    <row r="163" spans="1:3" x14ac:dyDescent="0.7">
      <c r="B163" s="6"/>
    </row>
    <row r="164" spans="1:3" x14ac:dyDescent="0.7">
      <c r="B164" s="6"/>
    </row>
    <row r="165" spans="1:3" x14ac:dyDescent="0.7">
      <c r="B165" s="6"/>
    </row>
    <row r="168" spans="1:3" x14ac:dyDescent="0.7">
      <c r="A168" s="3" t="e" cm="1" vm="1">
        <f t="array" ref="A168">_xlfn._xlws.PY(16,1)</f>
        <v>#VALUE!</v>
      </c>
    </row>
    <row r="171" spans="1:3" x14ac:dyDescent="0.7">
      <c r="A171" s="3" t="e" cm="1" vm="1">
        <f t="array" ref="A171">_xlfn._xlws.PY(17,0)</f>
        <v>#VALUE!</v>
      </c>
      <c r="B171" s="6"/>
      <c r="C171" s="6"/>
    </row>
    <row r="172" spans="1:3" x14ac:dyDescent="0.7">
      <c r="B172" s="6"/>
      <c r="C172" s="6"/>
    </row>
    <row r="173" spans="1:3" x14ac:dyDescent="0.7">
      <c r="B173" s="6"/>
      <c r="C173" s="6"/>
    </row>
    <row r="174" spans="1:3" x14ac:dyDescent="0.7">
      <c r="B174" s="6"/>
      <c r="C174" s="6"/>
    </row>
    <row r="175" spans="1:3" x14ac:dyDescent="0.7">
      <c r="B175" s="6"/>
      <c r="C175" s="6"/>
    </row>
    <row r="176" spans="1:3" x14ac:dyDescent="0.7">
      <c r="B176" s="6"/>
      <c r="C176" s="6"/>
    </row>
    <row r="177" spans="1:3" x14ac:dyDescent="0.7">
      <c r="B177" s="6"/>
      <c r="C177" s="6"/>
    </row>
    <row r="178" spans="1:3" x14ac:dyDescent="0.7">
      <c r="B178" s="6"/>
      <c r="C178" s="6"/>
    </row>
    <row r="179" spans="1:3" x14ac:dyDescent="0.7">
      <c r="B179" s="6"/>
      <c r="C179" s="6"/>
    </row>
    <row r="180" spans="1:3" x14ac:dyDescent="0.7">
      <c r="B180" s="6"/>
      <c r="C180" s="6"/>
    </row>
    <row r="181" spans="1:3" x14ac:dyDescent="0.7">
      <c r="B181" s="6"/>
      <c r="C181" s="6"/>
    </row>
    <row r="182" spans="1:3" x14ac:dyDescent="0.7">
      <c r="B182" s="6"/>
      <c r="C182" s="6"/>
    </row>
    <row r="183" spans="1:3" x14ac:dyDescent="0.7">
      <c r="B183" s="6"/>
      <c r="C183" s="6"/>
    </row>
    <row r="187" spans="1:3" x14ac:dyDescent="0.7">
      <c r="A187" s="3" t="e" cm="1" vm="1">
        <f t="array" ref="A187">_xlfn._xlws.PY(18,1)</f>
        <v>#VALUE!</v>
      </c>
    </row>
    <row r="190" spans="1:3" x14ac:dyDescent="0.7">
      <c r="A190" s="3" t="e" cm="1" vm="1">
        <f t="array" ref="A190">_xlfn._xlws.PY(19,0)</f>
        <v>#VALUE!</v>
      </c>
    </row>
    <row r="196" spans="1:1" x14ac:dyDescent="0.7">
      <c r="A196" s="3" t="e" cm="1" vm="1">
        <f t="array" ref="A196">_xlfn._xlws.PY(20,0)</f>
        <v>#VALUE!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31C9-C517-44BA-811F-F102BEB016DE}">
  <dimension ref="A1:F37"/>
  <sheetViews>
    <sheetView tabSelected="1" workbookViewId="0"/>
  </sheetViews>
  <sheetFormatPr defaultRowHeight="23.25" x14ac:dyDescent="0.7"/>
  <cols>
    <col min="1" max="1" width="8.875" style="2" bestFit="1" customWidth="1"/>
  </cols>
  <sheetData>
    <row r="1" spans="1:6" x14ac:dyDescent="0.7">
      <c r="A1" s="2" t="s">
        <v>144</v>
      </c>
      <c r="B1" t="s">
        <v>146</v>
      </c>
    </row>
    <row r="2" spans="1:6" x14ac:dyDescent="0.7">
      <c r="A2" s="2">
        <v>36526</v>
      </c>
      <c r="B2">
        <v>266</v>
      </c>
      <c r="F2" s="4"/>
    </row>
    <row r="3" spans="1:6" x14ac:dyDescent="0.7">
      <c r="A3" s="2">
        <v>36557</v>
      </c>
      <c r="B3">
        <v>145.9</v>
      </c>
      <c r="F3" s="4"/>
    </row>
    <row r="4" spans="1:6" x14ac:dyDescent="0.7">
      <c r="A4" s="2">
        <v>36586</v>
      </c>
      <c r="B4">
        <v>183.1</v>
      </c>
      <c r="F4" s="4"/>
    </row>
    <row r="5" spans="1:6" x14ac:dyDescent="0.7">
      <c r="A5" s="2">
        <v>36617</v>
      </c>
      <c r="B5">
        <v>119.3</v>
      </c>
      <c r="F5" s="4"/>
    </row>
    <row r="6" spans="1:6" x14ac:dyDescent="0.7">
      <c r="A6" s="2">
        <v>36647</v>
      </c>
      <c r="B6">
        <v>180.3</v>
      </c>
      <c r="F6" s="4"/>
    </row>
    <row r="7" spans="1:6" x14ac:dyDescent="0.7">
      <c r="A7" s="2">
        <v>36678</v>
      </c>
      <c r="B7">
        <v>168.5</v>
      </c>
      <c r="F7" s="4"/>
    </row>
    <row r="8" spans="1:6" x14ac:dyDescent="0.7">
      <c r="A8" s="2">
        <v>36708</v>
      </c>
      <c r="B8">
        <v>231.8</v>
      </c>
      <c r="F8" s="4"/>
    </row>
    <row r="9" spans="1:6" x14ac:dyDescent="0.7">
      <c r="A9" s="2">
        <v>36739</v>
      </c>
      <c r="B9">
        <v>224.5</v>
      </c>
      <c r="F9" s="4"/>
    </row>
    <row r="10" spans="1:6" x14ac:dyDescent="0.7">
      <c r="A10" s="2">
        <v>36770</v>
      </c>
      <c r="B10">
        <v>192.8</v>
      </c>
      <c r="F10" s="4"/>
    </row>
    <row r="11" spans="1:6" x14ac:dyDescent="0.7">
      <c r="A11" s="2">
        <v>36800</v>
      </c>
      <c r="B11">
        <v>122.9</v>
      </c>
      <c r="F11" s="4"/>
    </row>
    <row r="12" spans="1:6" x14ac:dyDescent="0.7">
      <c r="A12" s="2">
        <v>36831</v>
      </c>
      <c r="B12">
        <v>336.5</v>
      </c>
      <c r="F12" s="4"/>
    </row>
    <row r="13" spans="1:6" x14ac:dyDescent="0.7">
      <c r="A13" s="2">
        <v>36861</v>
      </c>
      <c r="B13">
        <v>185.9</v>
      </c>
      <c r="F13" s="4"/>
    </row>
    <row r="14" spans="1:6" x14ac:dyDescent="0.7">
      <c r="A14" s="2">
        <v>36892</v>
      </c>
      <c r="B14">
        <v>194.3</v>
      </c>
      <c r="F14" s="4"/>
    </row>
    <row r="15" spans="1:6" x14ac:dyDescent="0.7">
      <c r="A15" s="2">
        <v>36923</v>
      </c>
      <c r="B15">
        <v>149.5</v>
      </c>
      <c r="F15" s="4"/>
    </row>
    <row r="16" spans="1:6" x14ac:dyDescent="0.7">
      <c r="A16" s="2">
        <v>36951</v>
      </c>
      <c r="B16">
        <v>210.1</v>
      </c>
      <c r="F16" s="4"/>
    </row>
    <row r="17" spans="1:6" x14ac:dyDescent="0.7">
      <c r="A17" s="2">
        <v>36982</v>
      </c>
      <c r="B17">
        <v>273.3</v>
      </c>
      <c r="F17" s="4"/>
    </row>
    <row r="18" spans="1:6" x14ac:dyDescent="0.7">
      <c r="A18" s="2">
        <v>37012</v>
      </c>
      <c r="B18">
        <v>191.4</v>
      </c>
      <c r="F18" s="4"/>
    </row>
    <row r="19" spans="1:6" x14ac:dyDescent="0.7">
      <c r="A19" s="2">
        <v>37043</v>
      </c>
      <c r="B19">
        <v>287</v>
      </c>
      <c r="F19" s="4"/>
    </row>
    <row r="20" spans="1:6" x14ac:dyDescent="0.7">
      <c r="A20" s="2">
        <v>37073</v>
      </c>
      <c r="B20">
        <v>226</v>
      </c>
      <c r="F20" s="4"/>
    </row>
    <row r="21" spans="1:6" x14ac:dyDescent="0.7">
      <c r="A21" s="2">
        <v>37104</v>
      </c>
      <c r="B21">
        <v>303.60000000000002</v>
      </c>
      <c r="F21" s="4"/>
    </row>
    <row r="22" spans="1:6" x14ac:dyDescent="0.7">
      <c r="A22" s="2">
        <v>37135</v>
      </c>
      <c r="B22">
        <v>289.89999999999998</v>
      </c>
      <c r="F22" s="4"/>
    </row>
    <row r="23" spans="1:6" x14ac:dyDescent="0.7">
      <c r="A23" s="2">
        <v>37165</v>
      </c>
      <c r="B23">
        <v>421.6</v>
      </c>
      <c r="F23" s="4"/>
    </row>
    <row r="24" spans="1:6" x14ac:dyDescent="0.7">
      <c r="A24" s="2">
        <v>37196</v>
      </c>
      <c r="B24">
        <v>264.5</v>
      </c>
      <c r="F24" s="4"/>
    </row>
    <row r="25" spans="1:6" x14ac:dyDescent="0.7">
      <c r="A25" s="2">
        <v>37226</v>
      </c>
      <c r="B25">
        <v>342.3</v>
      </c>
      <c r="F25" s="4"/>
    </row>
    <row r="26" spans="1:6" x14ac:dyDescent="0.7">
      <c r="A26" s="2">
        <v>37257</v>
      </c>
      <c r="B26">
        <v>339.7</v>
      </c>
      <c r="F26" s="4"/>
    </row>
    <row r="27" spans="1:6" x14ac:dyDescent="0.7">
      <c r="A27" s="2">
        <v>37288</v>
      </c>
      <c r="B27">
        <v>440.4</v>
      </c>
      <c r="F27" s="4"/>
    </row>
    <row r="28" spans="1:6" x14ac:dyDescent="0.7">
      <c r="A28" s="2">
        <v>37316</v>
      </c>
      <c r="B28">
        <v>315.89999999999998</v>
      </c>
      <c r="F28" s="4"/>
    </row>
    <row r="29" spans="1:6" x14ac:dyDescent="0.7">
      <c r="A29" s="2">
        <v>37347</v>
      </c>
      <c r="B29">
        <v>439.3</v>
      </c>
      <c r="F29" s="4"/>
    </row>
    <row r="30" spans="1:6" x14ac:dyDescent="0.7">
      <c r="A30" s="2">
        <v>37377</v>
      </c>
      <c r="B30">
        <v>401.3</v>
      </c>
      <c r="F30" s="4"/>
    </row>
    <row r="31" spans="1:6" x14ac:dyDescent="0.7">
      <c r="A31" s="2">
        <v>37408</v>
      </c>
      <c r="B31">
        <v>437.4</v>
      </c>
      <c r="F31" s="4"/>
    </row>
    <row r="32" spans="1:6" x14ac:dyDescent="0.7">
      <c r="A32" s="2">
        <v>37438</v>
      </c>
      <c r="B32">
        <v>575.5</v>
      </c>
      <c r="F32" s="4"/>
    </row>
    <row r="33" spans="1:6" x14ac:dyDescent="0.7">
      <c r="A33" s="2">
        <v>37469</v>
      </c>
      <c r="B33">
        <v>407.6</v>
      </c>
      <c r="F33" s="4"/>
    </row>
    <row r="34" spans="1:6" x14ac:dyDescent="0.7">
      <c r="A34" s="2">
        <v>37500</v>
      </c>
      <c r="B34">
        <v>682</v>
      </c>
      <c r="F34" s="4"/>
    </row>
    <row r="35" spans="1:6" x14ac:dyDescent="0.7">
      <c r="A35" s="2">
        <v>37530</v>
      </c>
      <c r="B35">
        <v>475.3</v>
      </c>
      <c r="F35" s="4"/>
    </row>
    <row r="36" spans="1:6" x14ac:dyDescent="0.7">
      <c r="A36" s="2">
        <v>37561</v>
      </c>
      <c r="B36">
        <v>581.29999999999995</v>
      </c>
      <c r="F36" s="4"/>
    </row>
    <row r="37" spans="1:6" x14ac:dyDescent="0.7">
      <c r="A37" s="2">
        <v>37591</v>
      </c>
      <c r="B37">
        <v>646.9</v>
      </c>
      <c r="F37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6D00-A3A2-41DD-AB6F-6740B077CEDA}">
  <dimension ref="A1:A24"/>
  <sheetViews>
    <sheetView topLeftCell="A19" zoomScale="60" zoomScaleNormal="60" workbookViewId="0">
      <selection activeCell="C23" sqref="C23"/>
    </sheetView>
  </sheetViews>
  <sheetFormatPr defaultRowHeight="23.25" x14ac:dyDescent="0.7"/>
  <cols>
    <col min="1" max="1" width="8.75" bestFit="1" customWidth="1"/>
  </cols>
  <sheetData>
    <row r="1" spans="1:1" x14ac:dyDescent="0.7">
      <c r="A1" t="e" cm="1" vm="1">
        <f t="array" ref="A1">_xlfn._xlws.PY(21,0,shampoo[#All])</f>
        <v>#VALUE!</v>
      </c>
    </row>
    <row r="10" spans="1:1" x14ac:dyDescent="0.7">
      <c r="A10" t="e" cm="1" vm="1">
        <f t="array" ref="A10">_xlfn._xlws.PY(22,0)</f>
        <v>#VALUE!</v>
      </c>
    </row>
    <row r="24" spans="1:1" x14ac:dyDescent="0.7">
      <c r="A24" t="e" cm="1" vm="1">
        <f t="array" ref="A24">_xlfn._xlws.PY(23,0)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AirPassengers</vt:lpstr>
      <vt:lpstr>passengers_ts</vt:lpstr>
      <vt:lpstr>Shampoo</vt:lpstr>
      <vt:lpstr>shampoo_ts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2025-07-24T00:19:03Z</dcterms:created>
  <dcterms:modified xsi:type="dcterms:W3CDTF">2026-08-31T14:21:52Z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12:19:24 AM +00:00</vt:lpwstr>
  </property>
</Properties>
</file>