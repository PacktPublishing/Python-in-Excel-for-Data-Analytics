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10\"/>
    </mc:Choice>
  </mc:AlternateContent>
  <xr:revisionPtr revIDLastSave="0" documentId="13_ncr:1_{C3C55664-438B-4492-935A-00658033E2BB}" xr6:coauthVersionLast="47" xr6:coauthVersionMax="47" xr10:uidLastSave="{00000000-0000-0000-0000-000000000000}"/>
  <bookViews>
    <workbookView xWindow="-98" yWindow="-98" windowWidth="18915" windowHeight="12676" xr2:uid="{9C0D6B3D-BF38-4EC0-B560-276A782F5215}"/>
  </bookViews>
  <sheets>
    <sheet name="power-query" sheetId="3" r:id="rId1"/>
    <sheet name="moving-average" sheetId="7" r:id="rId2"/>
    <sheet name="mpg" sheetId="4" r:id="rId3"/>
    <sheet name="dynamic-measures" sheetId="5" r:id="rId4"/>
    <sheet name="dynamic-measures-helper" sheetId="6" r:id="rId5"/>
  </sheets>
  <definedNames>
    <definedName name="mpg_dimensions">_xlfn.ANCHORARRAY('dynamic-measures-helper'!$D$3)</definedName>
    <definedName name="operations">agg_methods[Operation]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3" i="6"/>
  <c r="A1" i="3" a="1"/>
  <c r="D3" i="7" s="1" a="1"/>
  <c r="J2" i="4" l="1" a="1"/>
  <c r="A4" i="5" s="1" a="1"/>
  <c r="D3" i="6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31B64-2FBA-4DF5-94E7-9B4B99CD5F76}" keepAlive="1" name="Query - world_pop" description="Connection to the 'world_pop' query in the workbook." type="5" refreshedVersion="0" background="1">
    <dbPr connection="Provider=Microsoft.Mashup.OleDb.1;Data Source=$Workbook$;Location=world_pop;Extended Properties=&quot;&quot;" command="SELECT * FROM [world_po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wiki_df = xl(%P2%)    </code>
    </pythonScript>
    <pythonScript>
      <code>moving_n = xl(%P2%)
sales_df = xl(%P3%, headers=True)
sales_df['Sales (smoothed)'] = sales_df['Sales'].rolling(window=moving_n, min_periods=1).mean().round(2)
sns.lineplot(data=sales_df, x='Date', y='Sales', label='Sales', alpha=.4)
sns.lineplot(data=sales_df, x='Date', y='Sales (smoothed)', label=f'{moving_n}-Period Average')
plt.title(f'Sales Moving Average ({moving_n} Periods)')</code>
    </pythonScript>
    <pythonScript>
      <code>mpg_df = xl(%P2%, headers=True)
mpg_df</code>
    </pythonScript>
    <pythonScript>
      <code xml:space="preserve">mpg_selected_agg = xl(%P2%)
mpg_selected_measure = xl(%P3%)
getattr(mpg_df.groupby('origin')[mpg_selected_measure],
mpg_selected_agg)().sort_values(ascending=False)
</code>
    </pythonScript>
    <pythonScript>
      <code>mpg_dimensions = mpg_df.select_dtypes(include=['number']).columns</code>
    </pythonScript>
  </pythonScripts>
</python>
</file>

<file path=xl/sharedStrings.xml><?xml version="1.0" encoding="utf-8"?>
<sst xmlns="http://schemas.openxmlformats.org/spreadsheetml/2006/main" count="435" uniqueCount="38">
  <si>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</si>
  <si>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</si>
  <si>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</si>
  <si>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</si>
  <si>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</si>
  <si>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</si>
  <si>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</si>
  <si>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</si>
  <si>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</si>
  <si>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</si>
  <si>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</si>
  <si>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Choose aggregation:</t>
  </si>
  <si>
    <t>Min</t>
  </si>
  <si>
    <t>Choose measure:</t>
  </si>
  <si>
    <t>To choose aggregation method:</t>
  </si>
  <si>
    <t xml:space="preserve">To choose measure: </t>
  </si>
  <si>
    <t>Operation</t>
  </si>
  <si>
    <t>Method</t>
  </si>
  <si>
    <t>Sum</t>
  </si>
  <si>
    <t>sum</t>
  </si>
  <si>
    <t>Average</t>
  </si>
  <si>
    <t>mean</t>
  </si>
  <si>
    <t>min</t>
  </si>
  <si>
    <t>Max</t>
  </si>
  <si>
    <t>max</t>
  </si>
  <si>
    <t>Count</t>
  </si>
  <si>
    <t>count</t>
  </si>
  <si>
    <t>Standard Deviation</t>
  </si>
  <si>
    <t>std</t>
  </si>
  <si>
    <t>Variance</t>
  </si>
  <si>
    <t>var</t>
  </si>
  <si>
    <t>Median</t>
  </si>
  <si>
    <t>median</t>
  </si>
  <si>
    <t>Method selected by user:</t>
  </si>
  <si>
    <t>For plot label</t>
  </si>
  <si>
    <t>Date</t>
  </si>
  <si>
    <t>Sales</t>
  </si>
  <si>
    <t>Select moving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</si>
</sst>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7"/>
      <color rgb="FFEEEEE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vertical="center" wrapText="1"/>
    </xf>
    <xf numFmtId="0" fontId="3" fillId="0" borderId="0" xfId="2"/>
    <xf numFmtId="14" fontId="3" fillId="0" borderId="0" xfId="2" applyNumberFormat="1"/>
    <xf numFmtId="0" fontId="4" fillId="0" borderId="0" xfId="0" applyFont="1"/>
    <xf numFmtId="3" fontId="0" fillId="0" borderId="0" xfId="0" applyNumberFormat="1"/>
  </cellXfs>
  <cellStyles count="3">
    <cellStyle name="Normal" xfId="0" builtinId="0"/>
    <cellStyle name="Normal 2" xfId="1" xr:uid="{31113D61-57B1-4689-B56A-BF3FFF3E3D78}"/>
    <cellStyle name="Normal 3" xfId="2" xr:uid="{8F4EB68E-D123-4AB7-92DE-AEAA24FCDE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'dynamic-measures-helper'!$B$15</c:f>
          <c:strCache>
            <c:ptCount val="1"/>
            <c:pt idx="0">
              <c:v>Average of weight by origin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'dynamic-measures'!$B$4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'dynamic-measures'!$A$5:$A$7</c:f>
              <c:strCache>
                <c:ptCount val="3"/>
                <c:pt idx="0">
                  <c:v>usa</c:v>
                </c:pt>
                <c:pt idx="1">
                  <c:v>europe</c:v>
                </c:pt>
                <c:pt idx="2">
                  <c:v>japan</c:v>
                </c:pt>
              </c:strCache>
            </c:strRef>
          </c:cat>
          <c:val>
            <c:numRef>
              <c:f>'dynamic-measures'!$B$5:$B$7</c:f>
              <c:numCache>
                <c:formatCode>General</c:formatCode>
                <c:ptCount val="3"/>
                <c:pt idx="0">
                  <c:v>3361.9317269076305</c:v>
                </c:pt>
                <c:pt idx="1">
                  <c:v>2423.3000000000002</c:v>
                </c:pt>
                <c:pt idx="2">
                  <c:v>2221.2278481012659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E-4056-A7F1-ACD5BDBB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298016"/>
        <c:axId val="893840847"/>
      </c:barChart>
      <c:catAx>
        <c:axId val="74829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40847"/>
        <c:crosses val="autoZero"/>
        <c:auto val="1"/>
        <c:lblAlgn val="ctr"/>
        <c:lblOffset val="100"/>
        <c:noMultiLvlLbl val="0"/>
      </c:catAx>
      <c:valAx>
        <c:axId val="8938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9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770445</xdr:colOff>
      <xdr:row>2</xdr:row>
      <xdr:rowOff>40277</xdr:rowOff>
    </xdr:from>
    <xdr:to>
      <xdr:col>8</xdr:col>
      <xdr:colOff>10629</xdr:colOff>
      <xdr:row>22</xdr:row>
      <xdr:rowOff>158291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126454E0-1D39-477E-FE7F-373C786F7F2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moving-average'!D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504" y="408826"/>
          <a:ext cx="4663831" cy="3803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604425</xdr:colOff>
      <xdr:row>0</xdr:row>
      <xdr:rowOff>230010</xdr:rowOff>
    </xdr:from>
    <xdr:to>
      <xdr:col>9</xdr:col>
      <xdr:colOff>89369</xdr:colOff>
      <xdr:row>13</xdr:row>
      <xdr:rowOff>225777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F9B15-0C57-AFCF-DA0B-C1A75982D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4">
  <rv s="0">
    <v>0</v>
    <v>9</v>
    <v>Image generated by Python</v>
  </rv>
  <rv s="1">
    <v>0</v>
  </rv>
  <rv s="2">
    <v>DataFrame</v>
    <v>1</v>
    <v>1</v>
  </rv>
  <rv s="3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2</v>
    <v>2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  <k n="Text" t="s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A1BA5-808D-4AF6-9CB5-223FCA5B2781}" name="daily_sales" displayName="daily_sales" ref="A1:B367" totalsRowShown="0">
  <autoFilter ref="A1:B367" xr:uid="{DDD56DD5-157F-487E-AEB3-74C488E1C164}"/>
  <tableColumns count="2">
    <tableColumn id="1" xr3:uid="{F0A20AF0-E5DE-4B03-BCCD-E41F32B9112F}" name="Date" dataDxfId="4"/>
    <tableColumn id="2" xr3:uid="{5228C13F-3F02-43D8-B48C-3B97CAF76C83}" name="Sale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FF3A-41A6-4EFE-BE73-2191B4EFA679}" name="mpg" displayName="mpg" ref="A1:H399" totalsRowShown="0">
  <autoFilter ref="A1:H399" xr:uid="{F9067F8F-44E0-42BB-9A55-2F1FBCAC53D6}"/>
  <tableColumns count="8">
    <tableColumn id="1" xr3:uid="{4A3FBEA3-39CB-402C-A246-E775B21DEE33}" name="mpg"/>
    <tableColumn id="2" xr3:uid="{2F93139A-A419-4134-AD43-EBFC4EA40A04}" name="cylinders"/>
    <tableColumn id="3" xr3:uid="{419AB61A-34AD-4E18-9E4E-109A6BE0FAF2}" name="displacement"/>
    <tableColumn id="4" xr3:uid="{34EEF4D1-F5D3-4605-B0E5-BE8A1D400FD7}" name="horsepower"/>
    <tableColumn id="5" xr3:uid="{604C4393-89E7-4F78-97FE-190C3E83BC57}" name="weight"/>
    <tableColumn id="6" xr3:uid="{A2C6BF9E-15B8-4854-B30E-A262F429F92B}" name="acceleration"/>
    <tableColumn id="7" xr3:uid="{E83BD5C0-55BC-4633-90DB-870FB8A00DDF}" name="model_year"/>
    <tableColumn id="8" xr3:uid="{B5AA964F-2A10-4E82-A188-7E82B586F3CE}" name="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66096-4E42-40CD-9CFD-F15D11927118}" name="agg_methods" displayName="agg_methods" ref="A3:B11" totalsRowShown="0" headerRowDxfId="2">
  <autoFilter ref="A3:B11" xr:uid="{C8C0E97A-6542-44D1-A394-C29C6C299C36}"/>
  <tableColumns count="2">
    <tableColumn id="1" xr3:uid="{482922EC-4436-4F76-B7FF-4125E5B7E35C}" name="Operation" dataDxfId="1"/>
    <tableColumn id="2" xr3:uid="{5B001E4F-2C3E-4FFF-9D1D-A597A729A824}" name="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DB5-8192-4599-A035-56E943A257DA}">
  <sheetPr>
    <tabColor theme="3" tint="0.249977111117893"/>
  </sheetPr>
  <dimension ref="A1:F239"/>
  <sheetViews>
    <sheetView tabSelected="1" topLeftCell="A6" zoomScale="160" zoomScaleNormal="160" workbookViewId="0">
      <selection activeCell="A6" sqref="A6"/>
    </sheetView>
  </sheetViews>
  <sheetFormatPr defaultRowHeight="18"/>
  <cols>
    <col min="1" max="1" width="16.47265625" customWidth="1"/>
    <col min="2" max="3" width="19" style="6" bestFit="1" customWidth="1"/>
  </cols>
  <sheetData>
    <row r="1" spans="1:6">
      <c r="A1" t="str" cm="1">
        <f t="array" ref="A1:F239">_xlfn._xlws.PY(0,0,_xlfn.PQSOURCE("0cb43bd8-b241-4ba9-ad35-48b4be168ad2"))</f>
        <v>Country or territory</v>
      </c>
      <c r="B1" s="6" t="str">
        <v>Population(1 July 2022)</v>
      </c>
      <c r="C1" s="6" t="str">
        <v>Population(1 July 2023)</v>
      </c>
      <c r="D1" t="str">
        <v>Change(%)</v>
      </c>
      <c r="E1" t="str">
        <v>UN continentalregion[1]</v>
      </c>
      <c r="F1" t="str">
        <v>UN statisticalsubregion[1]</v>
      </c>
    </row>
    <row r="2" spans="1:6">
      <c r="A2" t="str">
        <v>World</v>
      </c>
      <c r="B2" s="6">
        <v>8021407192</v>
      </c>
      <c r="C2" s="6">
        <v>8091734930</v>
      </c>
      <c r="D2" t="str">
        <v>+0.88%</v>
      </c>
      <c r="E2" t="str">
        <v>–</v>
      </c>
      <c r="F2" t="str">
        <v>–</v>
      </c>
    </row>
    <row r="3" spans="1:6">
      <c r="A3" t="str">
        <v>India</v>
      </c>
      <c r="B3" s="6">
        <v>1425423212</v>
      </c>
      <c r="C3" s="6">
        <v>1438069596</v>
      </c>
      <c r="D3" t="str">
        <v>+0.89%</v>
      </c>
      <c r="E3" t="str">
        <v>Asia</v>
      </c>
      <c r="F3" t="str">
        <v>Southern Asia</v>
      </c>
    </row>
    <row r="4" spans="1:6">
      <c r="A4" t="str">
        <v>China[a]</v>
      </c>
      <c r="B4" s="6">
        <v>1425179569</v>
      </c>
      <c r="C4" s="6">
        <v>1422584933</v>
      </c>
      <c r="D4" t="str">
        <v>−0.18%</v>
      </c>
      <c r="E4" t="str">
        <v>Asia</v>
      </c>
      <c r="F4" t="str">
        <v>Eastern Asia</v>
      </c>
    </row>
    <row r="5" spans="1:6">
      <c r="A5" t="str">
        <v>United States</v>
      </c>
      <c r="B5" s="6">
        <v>341534046</v>
      </c>
      <c r="C5" s="6">
        <v>343477335</v>
      </c>
      <c r="D5" t="str">
        <v>+0.57%</v>
      </c>
      <c r="E5" t="str">
        <v>Americas</v>
      </c>
      <c r="F5" t="str">
        <v>Northern America</v>
      </c>
    </row>
    <row r="6" spans="1:6">
      <c r="A6" t="str">
        <v>Indonesia</v>
      </c>
      <c r="B6" s="6">
        <v>278830529</v>
      </c>
      <c r="C6" s="6">
        <v>281190067</v>
      </c>
      <c r="D6" t="str">
        <v>+0.85%</v>
      </c>
      <c r="E6" t="str">
        <v>Asia</v>
      </c>
      <c r="F6" t="str">
        <v>South-eastern Asia</v>
      </c>
    </row>
    <row r="7" spans="1:6">
      <c r="A7" t="str">
        <v>Pakistan</v>
      </c>
      <c r="B7" s="6">
        <v>243700667</v>
      </c>
      <c r="C7" s="6">
        <v>247504495</v>
      </c>
      <c r="D7" t="str">
        <v>+1.56%</v>
      </c>
      <c r="E7" t="str">
        <v>Asia</v>
      </c>
      <c r="F7" t="str">
        <v>Southern Asia</v>
      </c>
    </row>
    <row r="8" spans="1:6">
      <c r="A8" t="str">
        <v>Nigeria</v>
      </c>
      <c r="B8" s="6">
        <v>223150896</v>
      </c>
      <c r="C8" s="6">
        <v>227882945</v>
      </c>
      <c r="D8" t="str">
        <v>+2.12%</v>
      </c>
      <c r="E8" t="str">
        <v>Africa</v>
      </c>
      <c r="F8" t="str">
        <v>Western Africa</v>
      </c>
    </row>
    <row r="9" spans="1:6">
      <c r="A9" t="str">
        <v>Brazil</v>
      </c>
      <c r="B9" s="6">
        <v>210306415</v>
      </c>
      <c r="C9" s="6">
        <v>211140729</v>
      </c>
      <c r="D9" t="str">
        <v>+0.40%</v>
      </c>
      <c r="E9" t="str">
        <v>Americas</v>
      </c>
      <c r="F9" t="str">
        <v>South America</v>
      </c>
    </row>
    <row r="10" spans="1:6">
      <c r="A10" t="str">
        <v>Bangladesh</v>
      </c>
      <c r="B10" s="6">
        <v>169384897</v>
      </c>
      <c r="C10" s="6">
        <v>171466990</v>
      </c>
      <c r="D10" t="str">
        <v>+1.23%</v>
      </c>
      <c r="E10" t="str">
        <v>Asia</v>
      </c>
      <c r="F10" t="str">
        <v>Southern Asia</v>
      </c>
    </row>
    <row r="11" spans="1:6">
      <c r="A11" t="str">
        <v>Russia</v>
      </c>
      <c r="B11" s="6">
        <v>145579899</v>
      </c>
      <c r="C11" s="6">
        <v>145440500</v>
      </c>
      <c r="D11" t="str">
        <v>−0.10%</v>
      </c>
      <c r="E11" t="str">
        <v>Europe</v>
      </c>
      <c r="F11" t="str">
        <v>Eastern Europe</v>
      </c>
    </row>
    <row r="12" spans="1:6">
      <c r="A12" t="str">
        <v>Mexico</v>
      </c>
      <c r="B12" s="6">
        <v>128613117</v>
      </c>
      <c r="C12" s="6">
        <v>129739759</v>
      </c>
      <c r="D12" t="str">
        <v>+0.88%</v>
      </c>
      <c r="E12" t="str">
        <v>Americas</v>
      </c>
      <c r="F12" t="str">
        <v>Central America</v>
      </c>
    </row>
    <row r="13" spans="1:6">
      <c r="A13" t="str">
        <v>Ethiopia</v>
      </c>
      <c r="B13" s="6">
        <v>125384287</v>
      </c>
      <c r="C13" s="6">
        <v>128691692</v>
      </c>
      <c r="D13" t="str">
        <v>+2.64%</v>
      </c>
      <c r="E13" t="str">
        <v>Africa</v>
      </c>
      <c r="F13" t="str">
        <v>Eastern Africa</v>
      </c>
    </row>
    <row r="14" spans="1:6">
      <c r="A14" t="str">
        <v>Japan</v>
      </c>
      <c r="B14" s="6">
        <v>124997578</v>
      </c>
      <c r="C14" s="6">
        <v>124370947</v>
      </c>
      <c r="D14" t="str">
        <v>−0.50%</v>
      </c>
      <c r="E14" t="str">
        <v>Asia</v>
      </c>
      <c r="F14" t="str">
        <v>Eastern Asia</v>
      </c>
    </row>
    <row r="15" spans="1:6">
      <c r="A15" t="str">
        <v>Philippines</v>
      </c>
      <c r="B15" s="6">
        <v>113964338</v>
      </c>
      <c r="C15" s="6">
        <v>114891199</v>
      </c>
      <c r="D15" t="str">
        <v>+0.81%</v>
      </c>
      <c r="E15" t="str">
        <v>Asia</v>
      </c>
      <c r="F15" t="str">
        <v>South-eastern Asia</v>
      </c>
    </row>
    <row r="16" spans="1:6">
      <c r="A16" t="str">
        <v>Egypt</v>
      </c>
      <c r="B16" s="6">
        <v>112618250</v>
      </c>
      <c r="C16" s="6">
        <v>114535772</v>
      </c>
      <c r="D16" t="str">
        <v>+1.70%</v>
      </c>
      <c r="E16" t="str">
        <v>Africa</v>
      </c>
      <c r="F16" t="str">
        <v>Northern Africa</v>
      </c>
    </row>
    <row r="17" spans="1:6">
      <c r="A17" t="str">
        <v>DR Congo</v>
      </c>
      <c r="B17" s="6">
        <v>102396968</v>
      </c>
      <c r="C17" s="6">
        <v>105789731</v>
      </c>
      <c r="D17" t="str">
        <v>+3.31%</v>
      </c>
      <c r="E17" t="str">
        <v>Africa</v>
      </c>
      <c r="F17" t="str">
        <v>Middle Africa</v>
      </c>
    </row>
    <row r="18" spans="1:6">
      <c r="A18" t="str">
        <v>Vietnam</v>
      </c>
      <c r="B18" s="6">
        <v>99680655</v>
      </c>
      <c r="C18" s="6">
        <v>100352192</v>
      </c>
      <c r="D18" t="str">
        <v>+0.67%</v>
      </c>
      <c r="E18" t="str">
        <v>Asia</v>
      </c>
      <c r="F18" t="str">
        <v>South-eastern Asia</v>
      </c>
    </row>
    <row r="19" spans="1:6">
      <c r="A19" t="str">
        <v>Iran</v>
      </c>
      <c r="B19" s="6">
        <v>89524246</v>
      </c>
      <c r="C19" s="6">
        <v>90608707</v>
      </c>
      <c r="D19" t="str">
        <v>+1.21%</v>
      </c>
      <c r="E19" t="str">
        <v>Asia</v>
      </c>
      <c r="F19" t="str">
        <v>Southern Asia</v>
      </c>
    </row>
    <row r="20" spans="1:6">
      <c r="A20" t="str">
        <v>Turkey</v>
      </c>
      <c r="B20" s="6">
        <v>87058473</v>
      </c>
      <c r="C20" s="6">
        <v>87270501</v>
      </c>
      <c r="D20" t="str">
        <v>+0.24%</v>
      </c>
      <c r="E20" t="str">
        <v>Asia</v>
      </c>
      <c r="F20" t="str">
        <v>Western Asia</v>
      </c>
    </row>
    <row r="21" spans="1:6">
      <c r="A21" t="str">
        <v>Germany</v>
      </c>
      <c r="B21" s="6">
        <v>84086227</v>
      </c>
      <c r="C21" s="6">
        <v>84548231</v>
      </c>
      <c r="D21" t="str">
        <v>+0.55%</v>
      </c>
      <c r="E21" t="str">
        <v>Europe</v>
      </c>
      <c r="F21" t="str">
        <v>Western Europe</v>
      </c>
    </row>
    <row r="22" spans="1:6">
      <c r="A22" t="str">
        <v>Thailand</v>
      </c>
      <c r="B22" s="6">
        <v>71735329</v>
      </c>
      <c r="C22" s="6">
        <v>71702435</v>
      </c>
      <c r="D22" t="str">
        <v>−0.05%</v>
      </c>
      <c r="E22" t="str">
        <v>Asia</v>
      </c>
      <c r="F22" t="str">
        <v>South-eastern Asia</v>
      </c>
    </row>
    <row r="23" spans="1:6">
      <c r="A23" t="str">
        <v>United Kingdom</v>
      </c>
      <c r="B23" s="6">
        <v>68179315</v>
      </c>
      <c r="C23" s="6">
        <v>68682962</v>
      </c>
      <c r="D23" t="str">
        <v>+0.74%</v>
      </c>
      <c r="E23" t="str">
        <v>Europe</v>
      </c>
      <c r="F23" t="str">
        <v>Northern Europe</v>
      </c>
    </row>
    <row r="24" spans="1:6">
      <c r="A24" t="str">
        <v>Tanzania[b]</v>
      </c>
      <c r="B24" s="6">
        <v>64711821</v>
      </c>
      <c r="C24" s="6">
        <v>66617606</v>
      </c>
      <c r="D24" t="str">
        <v>+2.95%</v>
      </c>
      <c r="E24" t="str">
        <v>Africa</v>
      </c>
      <c r="F24" t="str">
        <v>Eastern Africa</v>
      </c>
    </row>
    <row r="25" spans="1:6">
      <c r="A25" t="str">
        <v>France[c]</v>
      </c>
      <c r="B25" s="6">
        <v>66277409</v>
      </c>
      <c r="C25" s="6">
        <v>66438822</v>
      </c>
      <c r="D25" t="str">
        <v>+0.24%</v>
      </c>
      <c r="E25" t="str">
        <v>Europe</v>
      </c>
      <c r="F25" t="str">
        <v>Western Europe</v>
      </c>
    </row>
    <row r="26" spans="1:6">
      <c r="A26" t="str">
        <v>South Africa</v>
      </c>
      <c r="B26" s="6">
        <v>62378410</v>
      </c>
      <c r="C26" s="6">
        <v>63212384</v>
      </c>
      <c r="D26" t="str">
        <v>+1.34%</v>
      </c>
      <c r="E26" t="str">
        <v>Africa</v>
      </c>
      <c r="F26" t="str">
        <v>Southern Africa</v>
      </c>
    </row>
    <row r="27" spans="1:6">
      <c r="A27" t="str">
        <v>Italy</v>
      </c>
      <c r="B27" s="6">
        <v>59619115</v>
      </c>
      <c r="C27" s="6">
        <v>59499453</v>
      </c>
      <c r="D27" t="str">
        <v>−0.20%</v>
      </c>
      <c r="E27" t="str">
        <v>Europe</v>
      </c>
      <c r="F27" t="str">
        <v>Southern Europe</v>
      </c>
    </row>
    <row r="28" spans="1:6">
      <c r="A28" t="str">
        <v>Kenya</v>
      </c>
      <c r="B28" s="6">
        <v>54252461</v>
      </c>
      <c r="C28" s="6">
        <v>55339003</v>
      </c>
      <c r="D28" t="str">
        <v>+2.00%</v>
      </c>
      <c r="E28" t="str">
        <v>Africa</v>
      </c>
      <c r="F28" t="str">
        <v>Eastern Africa</v>
      </c>
    </row>
    <row r="29" spans="1:6">
      <c r="A29" t="str">
        <v>Myanmar</v>
      </c>
      <c r="B29" s="6">
        <v>53756787</v>
      </c>
      <c r="C29" s="6">
        <v>54133798</v>
      </c>
      <c r="D29" t="str">
        <v>+0.70%</v>
      </c>
      <c r="E29" t="str">
        <v>Asia</v>
      </c>
      <c r="F29" t="str">
        <v>South-eastern Asia</v>
      </c>
    </row>
    <row r="30" spans="1:6">
      <c r="A30" t="str">
        <v>Colombia</v>
      </c>
      <c r="B30" s="6">
        <v>51737944</v>
      </c>
      <c r="C30" s="6">
        <v>52321152</v>
      </c>
      <c r="D30" t="str">
        <v>+1.13%</v>
      </c>
      <c r="E30" t="str">
        <v>Americas</v>
      </c>
      <c r="F30" t="str">
        <v>South America</v>
      </c>
    </row>
    <row r="31" spans="1:6">
      <c r="A31" t="str">
        <v>South Korea</v>
      </c>
      <c r="B31" s="6">
        <v>51782512</v>
      </c>
      <c r="C31" s="6">
        <v>51748739</v>
      </c>
      <c r="D31" t="str">
        <v>−0.07%</v>
      </c>
      <c r="E31" t="str">
        <v>Asia</v>
      </c>
      <c r="F31" t="str">
        <v>Eastern Asia</v>
      </c>
    </row>
    <row r="32" spans="1:6">
      <c r="A32" t="str">
        <v>Sudan</v>
      </c>
      <c r="B32" s="6">
        <v>49383346</v>
      </c>
      <c r="C32" s="6">
        <v>50042791</v>
      </c>
      <c r="D32" t="str">
        <v>+1.34%</v>
      </c>
      <c r="E32" t="str">
        <v>Africa</v>
      </c>
      <c r="F32" t="str">
        <v>Northern Africa</v>
      </c>
    </row>
    <row r="33" spans="1:6">
      <c r="A33" t="str">
        <v>Uganda</v>
      </c>
      <c r="B33" s="6">
        <v>47312719</v>
      </c>
      <c r="C33" s="6">
        <v>48656601</v>
      </c>
      <c r="D33" t="str">
        <v>+2.84%</v>
      </c>
      <c r="E33" t="str">
        <v>Africa</v>
      </c>
      <c r="F33" t="str">
        <v>Eastern Africa</v>
      </c>
    </row>
    <row r="34" spans="1:6">
      <c r="A34" t="str">
        <v>Spain[d]</v>
      </c>
      <c r="B34" s="6">
        <v>47828382</v>
      </c>
      <c r="C34" s="6">
        <v>47911579</v>
      </c>
      <c r="D34" t="str">
        <v>+0.17%</v>
      </c>
      <c r="E34" t="str">
        <v>Europe</v>
      </c>
      <c r="F34" t="str">
        <v>Southern Europe</v>
      </c>
    </row>
    <row r="35" spans="1:6">
      <c r="A35" t="str">
        <v>Algeria</v>
      </c>
      <c r="B35" s="6">
        <v>45477389</v>
      </c>
      <c r="C35" s="6">
        <v>46164219</v>
      </c>
      <c r="D35" t="str">
        <v>+1.51%</v>
      </c>
      <c r="E35" t="str">
        <v>Africa</v>
      </c>
      <c r="F35" t="str">
        <v>Northern Africa</v>
      </c>
    </row>
    <row r="36" spans="1:6">
      <c r="A36" t="str">
        <v>Argentina</v>
      </c>
      <c r="B36" s="6">
        <v>45407904</v>
      </c>
      <c r="C36" s="6">
        <v>45538401</v>
      </c>
      <c r="D36" t="str">
        <v>+0.29%</v>
      </c>
      <c r="E36" t="str">
        <v>Americas</v>
      </c>
      <c r="F36" t="str">
        <v>South America</v>
      </c>
    </row>
    <row r="37" spans="1:6">
      <c r="A37" t="str">
        <v>Iraq</v>
      </c>
      <c r="B37" s="6">
        <v>44070551</v>
      </c>
      <c r="C37" s="6">
        <v>45074049</v>
      </c>
      <c r="D37" t="str">
        <v>+2.28%</v>
      </c>
      <c r="E37" t="str">
        <v>Asia</v>
      </c>
      <c r="F37" t="str">
        <v>Western Asia</v>
      </c>
    </row>
    <row r="38" spans="1:6">
      <c r="A38" t="str">
        <v>Afghanistan</v>
      </c>
      <c r="B38" s="6">
        <v>40578842</v>
      </c>
      <c r="C38" s="6">
        <v>41454761</v>
      </c>
      <c r="D38" t="str">
        <v>+2.16%</v>
      </c>
      <c r="E38" t="str">
        <v>Asia</v>
      </c>
      <c r="F38" t="str">
        <v>Southern Asia</v>
      </c>
    </row>
    <row r="39" spans="1:6">
      <c r="A39" t="str">
        <v>Yemen</v>
      </c>
      <c r="B39" s="6">
        <v>38222876</v>
      </c>
      <c r="C39" s="6">
        <v>39390799</v>
      </c>
      <c r="D39" t="str">
        <v>+3.06%</v>
      </c>
      <c r="E39" t="str">
        <v>Asia</v>
      </c>
      <c r="F39" t="str">
        <v>Western Asia</v>
      </c>
    </row>
    <row r="40" spans="1:6">
      <c r="A40" t="str">
        <v>Canada</v>
      </c>
      <c r="B40" s="6">
        <v>38821259</v>
      </c>
      <c r="C40" s="6">
        <v>39299105</v>
      </c>
      <c r="D40" t="str">
        <v>+1.23%</v>
      </c>
      <c r="E40" t="str">
        <v>Americas</v>
      </c>
      <c r="F40" t="str">
        <v>Northern America</v>
      </c>
    </row>
    <row r="41" spans="1:6">
      <c r="A41" t="str">
        <v>Poland</v>
      </c>
      <c r="B41" s="6">
        <v>38385739</v>
      </c>
      <c r="C41" s="6">
        <v>38762844</v>
      </c>
      <c r="D41" t="str">
        <v>+0.98%</v>
      </c>
      <c r="E41" t="str">
        <v>Europe</v>
      </c>
      <c r="F41" t="str">
        <v>Eastern Europe</v>
      </c>
    </row>
    <row r="42" spans="1:6">
      <c r="A42" t="str">
        <v>Ukraine[e]</v>
      </c>
      <c r="B42" s="6">
        <v>41048766</v>
      </c>
      <c r="C42" s="6">
        <v>37732836</v>
      </c>
      <c r="D42" t="str">
        <v>−8.08%</v>
      </c>
      <c r="E42" t="str">
        <v>Europe</v>
      </c>
      <c r="F42" t="str">
        <v>Eastern Europe</v>
      </c>
    </row>
    <row r="43" spans="1:6">
      <c r="A43" t="str">
        <v>Morocco</v>
      </c>
      <c r="B43" s="6">
        <v>37329064</v>
      </c>
      <c r="C43" s="6">
        <v>37712505</v>
      </c>
      <c r="D43" t="str">
        <v>+1.03%</v>
      </c>
      <c r="E43" t="str">
        <v>Africa</v>
      </c>
      <c r="F43" t="str">
        <v>Northern Africa</v>
      </c>
    </row>
    <row r="44" spans="1:6">
      <c r="A44" t="str">
        <v>Angola</v>
      </c>
      <c r="B44" s="6">
        <v>35635029</v>
      </c>
      <c r="C44" s="6">
        <v>36749906</v>
      </c>
      <c r="D44" t="str">
        <v>+3.13%</v>
      </c>
      <c r="E44" t="str">
        <v>Africa</v>
      </c>
      <c r="F44" t="str">
        <v>Middle Africa</v>
      </c>
    </row>
    <row r="45" spans="1:6">
      <c r="A45" t="str">
        <v>Uzbekistan</v>
      </c>
      <c r="B45" s="6">
        <v>34938955</v>
      </c>
      <c r="C45" s="6">
        <v>35652307</v>
      </c>
      <c r="D45" t="str">
        <v>+2.04%</v>
      </c>
      <c r="E45" t="str">
        <v>Asia</v>
      </c>
      <c r="F45" t="str">
        <v>Central Asia</v>
      </c>
    </row>
    <row r="46" spans="1:6">
      <c r="A46" t="str">
        <v>Malaysia</v>
      </c>
      <c r="B46" s="6">
        <v>34695493</v>
      </c>
      <c r="C46" s="6">
        <v>35126298</v>
      </c>
      <c r="D46" t="str">
        <v>+1.24%</v>
      </c>
      <c r="E46" t="str">
        <v>Asia</v>
      </c>
      <c r="F46" t="str">
        <v>South-eastern Asia</v>
      </c>
    </row>
    <row r="47" spans="1:6">
      <c r="A47" t="str">
        <v>Peru</v>
      </c>
      <c r="B47" s="6">
        <v>33475438</v>
      </c>
      <c r="C47" s="6">
        <v>33845617</v>
      </c>
      <c r="D47" t="str">
        <v>+1.11%</v>
      </c>
      <c r="E47" t="str">
        <v>Americas</v>
      </c>
      <c r="F47" t="str">
        <v>South America</v>
      </c>
    </row>
    <row r="48" spans="1:6">
      <c r="A48" t="str">
        <v>Ghana</v>
      </c>
      <c r="B48" s="6">
        <v>33149152</v>
      </c>
      <c r="C48" s="6">
        <v>33787914</v>
      </c>
      <c r="D48" t="str">
        <v>+1.93%</v>
      </c>
      <c r="E48" t="str">
        <v>Africa</v>
      </c>
      <c r="F48" t="str">
        <v>Western Africa</v>
      </c>
    </row>
    <row r="49" spans="1:6">
      <c r="A49" t="str">
        <v>Mozambique</v>
      </c>
      <c r="B49" s="6">
        <v>32656246</v>
      </c>
      <c r="C49" s="6">
        <v>33635160</v>
      </c>
      <c r="D49" t="str">
        <v>+3.00%</v>
      </c>
      <c r="E49" t="str">
        <v>Africa</v>
      </c>
      <c r="F49" t="str">
        <v>Eastern Africa</v>
      </c>
    </row>
    <row r="50" spans="1:6">
      <c r="A50" t="str">
        <v>Saudi Arabia</v>
      </c>
      <c r="B50" s="6">
        <v>32175352</v>
      </c>
      <c r="C50" s="6">
        <v>32264292</v>
      </c>
      <c r="D50" t="str">
        <v>+0.28%</v>
      </c>
      <c r="E50" t="str">
        <v>Asia</v>
      </c>
      <c r="F50" t="str">
        <v>Western Asia</v>
      </c>
    </row>
    <row r="51" spans="1:6">
      <c r="A51" t="str">
        <v>Madagascar</v>
      </c>
      <c r="B51" s="6">
        <v>30437261</v>
      </c>
      <c r="C51" s="6">
        <v>31195932</v>
      </c>
      <c r="D51" t="str">
        <v>+2.49%</v>
      </c>
      <c r="E51" t="str">
        <v>Africa</v>
      </c>
      <c r="F51" t="str">
        <v>Eastern Africa</v>
      </c>
    </row>
    <row r="52" spans="1:6">
      <c r="A52" t="str">
        <v>Ivory Coast</v>
      </c>
      <c r="B52" s="6">
        <v>30395002</v>
      </c>
      <c r="C52" s="6">
        <v>31165654</v>
      </c>
      <c r="D52" t="str">
        <v>+2.54%</v>
      </c>
      <c r="E52" t="str">
        <v>Africa</v>
      </c>
      <c r="F52" t="str">
        <v>Western Africa</v>
      </c>
    </row>
    <row r="53" spans="1:6">
      <c r="A53" t="str">
        <v>Nepal</v>
      </c>
      <c r="B53" s="6">
        <v>29715436</v>
      </c>
      <c r="C53" s="6">
        <v>29964614</v>
      </c>
      <c r="D53" t="str">
        <v>+0.84%</v>
      </c>
      <c r="E53" t="str">
        <v>Asia</v>
      </c>
      <c r="F53" t="str">
        <v>Southern Asia</v>
      </c>
    </row>
    <row r="54" spans="1:6">
      <c r="A54" t="str">
        <v>Cameroon</v>
      </c>
      <c r="B54" s="6">
        <v>27632771</v>
      </c>
      <c r="C54" s="6">
        <v>28372687</v>
      </c>
      <c r="D54" t="str">
        <v>+2.68%</v>
      </c>
      <c r="E54" t="str">
        <v>Africa</v>
      </c>
      <c r="F54" t="str">
        <v>Middle Africa</v>
      </c>
    </row>
    <row r="55" spans="1:6">
      <c r="A55" t="str">
        <v>Venezuela</v>
      </c>
      <c r="B55" s="6">
        <v>28213017</v>
      </c>
      <c r="C55" s="6">
        <v>28300854</v>
      </c>
      <c r="D55" t="str">
        <v>+0.31%</v>
      </c>
      <c r="E55" t="str">
        <v>Americas</v>
      </c>
      <c r="F55" t="str">
        <v>South America</v>
      </c>
    </row>
    <row r="56" spans="1:6">
      <c r="A56" t="str">
        <v>Australia[f]</v>
      </c>
      <c r="B56" s="6">
        <v>26200984</v>
      </c>
      <c r="C56" s="6">
        <v>26451124</v>
      </c>
      <c r="D56" t="str">
        <v>+0.95%</v>
      </c>
      <c r="E56" t="str">
        <v>Oceania</v>
      </c>
      <c r="F56" t="str">
        <v>Australia and New Zealand</v>
      </c>
    </row>
    <row r="57" spans="1:6">
      <c r="A57" t="str">
        <v>North Korea</v>
      </c>
      <c r="B57" s="6">
        <v>26329845</v>
      </c>
      <c r="C57" s="6">
        <v>26418204</v>
      </c>
      <c r="D57" t="str">
        <v>+0.34%</v>
      </c>
      <c r="E57" t="str">
        <v>Asia</v>
      </c>
      <c r="F57" t="str">
        <v>Eastern Asia</v>
      </c>
    </row>
    <row r="58" spans="1:6">
      <c r="A58" t="str">
        <v>Niger</v>
      </c>
      <c r="B58" s="6">
        <v>25311973</v>
      </c>
      <c r="C58" s="6">
        <v>26159867</v>
      </c>
      <c r="D58" t="str">
        <v>+3.35%</v>
      </c>
      <c r="E58" t="str">
        <v>Africa</v>
      </c>
      <c r="F58" t="str">
        <v>Western Africa</v>
      </c>
    </row>
    <row r="59" spans="1:6">
      <c r="A59" t="str">
        <v>Mali</v>
      </c>
      <c r="B59" s="6">
        <v>23072640</v>
      </c>
      <c r="C59" s="6">
        <v>23769127</v>
      </c>
      <c r="D59" t="str">
        <v>+3.02%</v>
      </c>
      <c r="E59" t="str">
        <v>Africa</v>
      </c>
      <c r="F59" t="str">
        <v>Western Africa</v>
      </c>
    </row>
    <row r="60" spans="1:6">
      <c r="A60" t="str">
        <v>Syria</v>
      </c>
      <c r="B60" s="6">
        <v>22462173</v>
      </c>
      <c r="C60" s="6">
        <v>23594623</v>
      </c>
      <c r="D60" t="str">
        <v>+5.04%</v>
      </c>
      <c r="E60" t="str">
        <v>Asia</v>
      </c>
      <c r="F60" t="str">
        <v>Western Asia</v>
      </c>
    </row>
    <row r="61" spans="1:6">
      <c r="A61" t="str">
        <v>Taiwan[g]</v>
      </c>
      <c r="B61" s="6">
        <v>23420111</v>
      </c>
      <c r="C61" s="6">
        <v>23317145</v>
      </c>
      <c r="D61" t="str">
        <v>−0.44%</v>
      </c>
      <c r="E61" t="str">
        <v>Asia</v>
      </c>
      <c r="F61" t="str">
        <v>Eastern Asia</v>
      </c>
    </row>
    <row r="62" spans="1:6">
      <c r="A62" t="str">
        <v>Burkina Faso</v>
      </c>
      <c r="B62" s="6">
        <v>22509038</v>
      </c>
      <c r="C62" s="6">
        <v>23025776</v>
      </c>
      <c r="D62" t="str">
        <v>+2.30%</v>
      </c>
      <c r="E62" t="str">
        <v>Africa</v>
      </c>
      <c r="F62" t="str">
        <v>Western Africa</v>
      </c>
    </row>
    <row r="63" spans="1:6">
      <c r="A63" t="str">
        <v>Sri Lanka</v>
      </c>
      <c r="B63" s="6">
        <v>22834965</v>
      </c>
      <c r="C63" s="6">
        <v>22971617</v>
      </c>
      <c r="D63" t="str">
        <v>+0.60%</v>
      </c>
      <c r="E63" t="str">
        <v>Asia</v>
      </c>
      <c r="F63" t="str">
        <v>Southern Asia</v>
      </c>
    </row>
    <row r="64" spans="1:6">
      <c r="A64" t="str">
        <v>Malawi</v>
      </c>
      <c r="B64" s="6">
        <v>20568728</v>
      </c>
      <c r="C64" s="6">
        <v>21104482</v>
      </c>
      <c r="D64" t="str">
        <v>+2.60%</v>
      </c>
      <c r="E64" t="str">
        <v>Africa</v>
      </c>
      <c r="F64" t="str">
        <v>Eastern Africa</v>
      </c>
    </row>
    <row r="65" spans="1:6">
      <c r="A65" t="str">
        <v>Zambia</v>
      </c>
      <c r="B65" s="6">
        <v>20152938</v>
      </c>
      <c r="C65" s="6">
        <v>20723965</v>
      </c>
      <c r="D65" t="str">
        <v>+2.83%</v>
      </c>
      <c r="E65" t="str">
        <v>Africa</v>
      </c>
      <c r="F65" t="str">
        <v>Eastern Africa</v>
      </c>
    </row>
    <row r="66" spans="1:6">
      <c r="A66" t="str">
        <v>Kazakhstan</v>
      </c>
      <c r="B66" s="6">
        <v>20034609</v>
      </c>
      <c r="C66" s="6">
        <v>20330104</v>
      </c>
      <c r="D66" t="str">
        <v>+1.47%</v>
      </c>
      <c r="E66" t="str">
        <v>Asia</v>
      </c>
      <c r="F66" t="str">
        <v>Central Asia</v>
      </c>
    </row>
    <row r="67" spans="1:6">
      <c r="A67" t="str">
        <v>Chile</v>
      </c>
      <c r="B67" s="6">
        <v>19553036</v>
      </c>
      <c r="C67" s="6">
        <v>19658835</v>
      </c>
      <c r="D67" t="str">
        <v>+0.54%</v>
      </c>
      <c r="E67" t="str">
        <v>Americas</v>
      </c>
      <c r="F67" t="str">
        <v>South America</v>
      </c>
    </row>
    <row r="68" spans="1:6">
      <c r="A68" t="str">
        <v>Chad</v>
      </c>
      <c r="B68" s="6">
        <v>18455316</v>
      </c>
      <c r="C68" s="6">
        <v>19319064</v>
      </c>
      <c r="D68" t="str">
        <v>+4.68%</v>
      </c>
      <c r="E68" t="str">
        <v>Africa</v>
      </c>
      <c r="F68" t="str">
        <v>Middle Africa</v>
      </c>
    </row>
    <row r="69" spans="1:6">
      <c r="A69" t="str">
        <v>Romania</v>
      </c>
      <c r="B69" s="6">
        <v>19166772</v>
      </c>
      <c r="C69" s="6">
        <v>19118479</v>
      </c>
      <c r="D69" t="str">
        <v>−0.25%</v>
      </c>
      <c r="E69" t="str">
        <v>Europe</v>
      </c>
      <c r="F69" t="str">
        <v>Eastern Europe</v>
      </c>
    </row>
    <row r="70" spans="1:6">
      <c r="A70" t="str">
        <v>Somalia[h]</v>
      </c>
      <c r="B70" s="6">
        <v>17801897</v>
      </c>
      <c r="C70" s="6">
        <v>18358615</v>
      </c>
      <c r="D70" t="str">
        <v>+3.13%</v>
      </c>
      <c r="E70" t="str">
        <v>Africa</v>
      </c>
      <c r="F70" t="str">
        <v>Eastern Africa</v>
      </c>
    </row>
    <row r="71" spans="1:6">
      <c r="A71" t="str">
        <v>Guatemala</v>
      </c>
      <c r="B71" s="6">
        <v>17847877</v>
      </c>
      <c r="C71" s="6">
        <v>18124838</v>
      </c>
      <c r="D71" t="str">
        <v>+1.55%</v>
      </c>
      <c r="E71" t="str">
        <v>Americas</v>
      </c>
      <c r="F71" t="str">
        <v>Central America</v>
      </c>
    </row>
    <row r="72" spans="1:6">
      <c r="A72" t="str">
        <v>Senegal</v>
      </c>
      <c r="B72" s="6">
        <v>17651103</v>
      </c>
      <c r="C72" s="6">
        <v>18077573</v>
      </c>
      <c r="D72" t="str">
        <v>+2.42%</v>
      </c>
      <c r="E72" t="str">
        <v>Africa</v>
      </c>
      <c r="F72" t="str">
        <v>Western Africa</v>
      </c>
    </row>
    <row r="73" spans="1:6">
      <c r="A73" t="str">
        <v>Netherlands[i]</v>
      </c>
      <c r="B73" s="6">
        <v>17904421</v>
      </c>
      <c r="C73" s="6">
        <v>18092524</v>
      </c>
      <c r="D73" t="str">
        <v>+1.05%</v>
      </c>
      <c r="E73" t="str">
        <v>Europe</v>
      </c>
      <c r="F73" t="str">
        <v>Western Europe</v>
      </c>
    </row>
    <row r="74" spans="1:6">
      <c r="A74" t="str">
        <v>Ecuador</v>
      </c>
      <c r="B74" s="6">
        <v>17823897</v>
      </c>
      <c r="C74" s="6">
        <v>17980083</v>
      </c>
      <c r="D74" t="str">
        <v>+0.88%</v>
      </c>
      <c r="E74" t="str">
        <v>Americas</v>
      </c>
      <c r="F74" t="str">
        <v>South America</v>
      </c>
    </row>
    <row r="75" spans="1:6">
      <c r="A75" t="str">
        <v>Cambodia</v>
      </c>
      <c r="B75" s="6">
        <v>17201724</v>
      </c>
      <c r="C75" s="6">
        <v>17423880</v>
      </c>
      <c r="D75" t="str">
        <v>+1.29%</v>
      </c>
      <c r="E75" t="str">
        <v>Asia</v>
      </c>
      <c r="F75" t="str">
        <v>South-eastern Asia</v>
      </c>
    </row>
    <row r="76" spans="1:6">
      <c r="A76" t="str">
        <v>Zimbabwe</v>
      </c>
      <c r="B76" s="6">
        <v>16069056</v>
      </c>
      <c r="C76" s="6">
        <v>16340822</v>
      </c>
      <c r="D76" t="str">
        <v>+1.69%</v>
      </c>
      <c r="E76" t="str">
        <v>Africa</v>
      </c>
      <c r="F76" t="str">
        <v>Eastern Africa</v>
      </c>
    </row>
    <row r="77" spans="1:6">
      <c r="A77" t="str">
        <v>Guinea</v>
      </c>
      <c r="B77" s="6">
        <v>14055137</v>
      </c>
      <c r="C77" s="6">
        <v>14405465</v>
      </c>
      <c r="D77" t="str">
        <v>+2.49%</v>
      </c>
      <c r="E77" t="str">
        <v>Africa</v>
      </c>
      <c r="F77" t="str">
        <v>Western Africa</v>
      </c>
    </row>
    <row r="78" spans="1:6">
      <c r="A78" t="str">
        <v>Benin</v>
      </c>
      <c r="B78" s="6">
        <v>13759501</v>
      </c>
      <c r="C78" s="6">
        <v>14111034</v>
      </c>
      <c r="D78" t="str">
        <v>+2.55%</v>
      </c>
      <c r="E78" t="str">
        <v>Africa</v>
      </c>
      <c r="F78" t="str">
        <v>Western Africa</v>
      </c>
    </row>
    <row r="79" spans="1:6">
      <c r="A79" t="str">
        <v>Rwanda</v>
      </c>
      <c r="B79" s="6">
        <v>13651030</v>
      </c>
      <c r="C79" s="6">
        <v>13954471</v>
      </c>
      <c r="D79" t="str">
        <v>+2.22%</v>
      </c>
      <c r="E79" t="str">
        <v>Africa</v>
      </c>
      <c r="F79" t="str">
        <v>Eastern Africa</v>
      </c>
    </row>
    <row r="80" spans="1:6">
      <c r="A80" t="str">
        <v>Burundi</v>
      </c>
      <c r="B80" s="6">
        <v>13321097</v>
      </c>
      <c r="C80" s="6">
        <v>13689450</v>
      </c>
      <c r="D80" t="str">
        <v>+2.77%</v>
      </c>
      <c r="E80" t="str">
        <v>Africa</v>
      </c>
      <c r="F80" t="str">
        <v>Eastern Africa</v>
      </c>
    </row>
    <row r="81" spans="1:6">
      <c r="A81" t="str">
        <v>Bolivia</v>
      </c>
      <c r="B81" s="6">
        <v>12077154</v>
      </c>
      <c r="C81" s="6">
        <v>12244159</v>
      </c>
      <c r="D81" t="str">
        <v>+1.38%</v>
      </c>
      <c r="E81" t="str">
        <v>Americas</v>
      </c>
      <c r="F81" t="str">
        <v>South America</v>
      </c>
    </row>
    <row r="82" spans="1:6">
      <c r="A82" t="str">
        <v>Tunisia</v>
      </c>
      <c r="B82" s="6">
        <v>12119334</v>
      </c>
      <c r="C82" s="6">
        <v>12200431</v>
      </c>
      <c r="D82" t="str">
        <v>+0.67%</v>
      </c>
      <c r="E82" t="str">
        <v>Africa</v>
      </c>
      <c r="F82" t="str">
        <v>Northern Africa</v>
      </c>
    </row>
    <row r="83" spans="1:6">
      <c r="A83" t="str">
        <v>Belgium</v>
      </c>
      <c r="B83" s="6">
        <v>11641820</v>
      </c>
      <c r="C83" s="6">
        <v>11712893</v>
      </c>
      <c r="D83" t="str">
        <v>+0.61%</v>
      </c>
      <c r="E83" t="str">
        <v>Europe</v>
      </c>
      <c r="F83" t="str">
        <v>Western Europe</v>
      </c>
    </row>
    <row r="84" spans="1:6">
      <c r="A84" t="str">
        <v>Haiti</v>
      </c>
      <c r="B84" s="6">
        <v>11503606</v>
      </c>
      <c r="C84" s="6">
        <v>11637398</v>
      </c>
      <c r="D84" t="str">
        <v>+1.16%</v>
      </c>
      <c r="E84" t="str">
        <v>Americas</v>
      </c>
      <c r="F84" t="str">
        <v>Caribbean</v>
      </c>
    </row>
    <row r="85" spans="1:6">
      <c r="A85" t="str">
        <v>South Sudan</v>
      </c>
      <c r="B85" s="6">
        <v>11021177</v>
      </c>
      <c r="C85" s="6">
        <v>11483374</v>
      </c>
      <c r="D85" t="str">
        <v>+4.19%</v>
      </c>
      <c r="E85" t="str">
        <v>Africa</v>
      </c>
      <c r="F85" t="str">
        <v>Eastern Africa</v>
      </c>
    </row>
    <row r="86" spans="1:6">
      <c r="A86" t="str">
        <v>Jordan</v>
      </c>
      <c r="B86" s="6">
        <v>11256263</v>
      </c>
      <c r="C86" s="6">
        <v>11439213</v>
      </c>
      <c r="D86" t="str">
        <v>+1.63%</v>
      </c>
      <c r="E86" t="str">
        <v>Asia</v>
      </c>
      <c r="F86" t="str">
        <v>Western Asia</v>
      </c>
    </row>
    <row r="87" spans="1:6">
      <c r="A87" t="str">
        <v>Dominican Republic</v>
      </c>
      <c r="B87" s="6">
        <v>11230734</v>
      </c>
      <c r="C87" s="6">
        <v>11331265</v>
      </c>
      <c r="D87" t="str">
        <v>+0.90%</v>
      </c>
      <c r="E87" t="str">
        <v>Americas</v>
      </c>
      <c r="F87" t="str">
        <v>Caribbean</v>
      </c>
    </row>
    <row r="88" spans="1:6">
      <c r="A88" t="str">
        <v>Cuba</v>
      </c>
      <c r="B88" s="6">
        <v>11059820</v>
      </c>
      <c r="C88" s="6">
        <v>11019931</v>
      </c>
      <c r="D88" t="str">
        <v>−0.36%</v>
      </c>
      <c r="E88" t="str">
        <v>Americas</v>
      </c>
      <c r="F88" t="str">
        <v>Caribbean</v>
      </c>
    </row>
    <row r="89" spans="1:6">
      <c r="A89" t="str">
        <v>Czechia</v>
      </c>
      <c r="B89" s="6">
        <v>10673213</v>
      </c>
      <c r="C89" s="6">
        <v>10809716</v>
      </c>
      <c r="D89" t="str">
        <v>+1.28%</v>
      </c>
      <c r="E89" t="str">
        <v>Europe</v>
      </c>
      <c r="F89" t="str">
        <v>Eastern Europe</v>
      </c>
    </row>
    <row r="90" spans="1:6">
      <c r="A90" t="str">
        <v>Honduras</v>
      </c>
      <c r="B90" s="6">
        <v>10463872</v>
      </c>
      <c r="C90" s="6">
        <v>10644851</v>
      </c>
      <c r="D90" t="str">
        <v>+1.73%</v>
      </c>
      <c r="E90" t="str">
        <v>Americas</v>
      </c>
      <c r="F90" t="str">
        <v>Central America</v>
      </c>
    </row>
    <row r="91" spans="1:6">
      <c r="A91" t="str">
        <v>United Arab Emirates</v>
      </c>
      <c r="B91" s="6">
        <v>10242086</v>
      </c>
      <c r="C91" s="6">
        <v>10642081</v>
      </c>
      <c r="D91" t="str">
        <v>+3.91%</v>
      </c>
      <c r="E91" t="str">
        <v>Asia</v>
      </c>
      <c r="F91" t="str">
        <v>Western Asia</v>
      </c>
    </row>
    <row r="92" spans="1:6">
      <c r="A92" t="str">
        <v>Sweden</v>
      </c>
      <c r="B92" s="6">
        <v>10487338</v>
      </c>
      <c r="C92" s="6">
        <v>10551494</v>
      </c>
      <c r="D92" t="str">
        <v>+0.61%</v>
      </c>
      <c r="E92" t="str">
        <v>Europe</v>
      </c>
      <c r="F92" t="str">
        <v>Northern Europe</v>
      </c>
    </row>
    <row r="93" spans="1:6">
      <c r="A93" t="str">
        <v>Portugal[j]</v>
      </c>
      <c r="B93" s="6">
        <v>10417073</v>
      </c>
      <c r="C93" s="6">
        <v>10430738</v>
      </c>
      <c r="D93" t="str">
        <v>+0.13%</v>
      </c>
      <c r="E93" t="str">
        <v>Europe</v>
      </c>
      <c r="F93" t="str">
        <v>Southern Europe</v>
      </c>
    </row>
    <row r="94" spans="1:6">
      <c r="A94" t="str">
        <v>Tajikistan</v>
      </c>
      <c r="B94" s="6">
        <v>10182222</v>
      </c>
      <c r="C94" s="6">
        <v>10389799</v>
      </c>
      <c r="D94" t="str">
        <v>+2.04%</v>
      </c>
      <c r="E94" t="str">
        <v>Asia</v>
      </c>
      <c r="F94" t="str">
        <v>Central Asia</v>
      </c>
    </row>
    <row r="95" spans="1:6">
      <c r="A95" t="str">
        <v>Papua New Guinea</v>
      </c>
      <c r="B95" s="6">
        <v>10203169</v>
      </c>
      <c r="C95" s="6">
        <v>10389635</v>
      </c>
      <c r="D95" t="str">
        <v>+1.83%</v>
      </c>
      <c r="E95" t="str">
        <v>Oceania</v>
      </c>
      <c r="F95" t="str">
        <v>Melanesia</v>
      </c>
    </row>
    <row r="96" spans="1:6">
      <c r="A96" t="str">
        <v>Azerbaijan</v>
      </c>
      <c r="B96" s="6">
        <v>10295304</v>
      </c>
      <c r="C96" s="6">
        <v>10318207</v>
      </c>
      <c r="D96" t="str">
        <v>+0.22%</v>
      </c>
      <c r="E96" t="str">
        <v>Asia</v>
      </c>
      <c r="F96" t="str">
        <v>Western Asia</v>
      </c>
    </row>
    <row r="97" spans="1:6">
      <c r="A97" t="str">
        <v>Greece</v>
      </c>
      <c r="B97" s="6">
        <v>10412480</v>
      </c>
      <c r="C97" s="6">
        <v>10242908</v>
      </c>
      <c r="D97" t="str">
        <v>−1.63%</v>
      </c>
      <c r="E97" t="str">
        <v>Europe</v>
      </c>
      <c r="F97" t="str">
        <v>Southern Europe</v>
      </c>
    </row>
    <row r="98" spans="1:6">
      <c r="A98" t="str">
        <v>Hungary</v>
      </c>
      <c r="B98" s="6">
        <v>9964306</v>
      </c>
      <c r="C98" s="6">
        <v>9686463</v>
      </c>
      <c r="D98" t="str">
        <v>−2.79%</v>
      </c>
      <c r="E98" t="str">
        <v>Europe</v>
      </c>
      <c r="F98" t="str">
        <v>Eastern Europe</v>
      </c>
    </row>
    <row r="99" spans="1:6">
      <c r="A99" t="str">
        <v>Togo</v>
      </c>
      <c r="B99" s="6">
        <v>9089738</v>
      </c>
      <c r="C99" s="6">
        <v>9304337</v>
      </c>
      <c r="D99" t="str">
        <v>+2.36%</v>
      </c>
      <c r="E99" t="str">
        <v>Africa</v>
      </c>
      <c r="F99" t="str">
        <v>Western Africa</v>
      </c>
    </row>
    <row r="100" spans="1:6">
      <c r="A100" t="str">
        <v>Israel</v>
      </c>
      <c r="B100" s="6">
        <v>9103151</v>
      </c>
      <c r="C100" s="6">
        <v>9256314</v>
      </c>
      <c r="D100" t="str">
        <v>+1.68%</v>
      </c>
      <c r="E100" t="str">
        <v>Asia</v>
      </c>
      <c r="F100" t="str">
        <v>Western Asia</v>
      </c>
    </row>
    <row r="101" spans="1:6">
      <c r="A101" t="str">
        <v>Austria</v>
      </c>
      <c r="B101" s="6">
        <v>9064677</v>
      </c>
      <c r="C101" s="6">
        <v>9130429</v>
      </c>
      <c r="D101" t="str">
        <v>+0.73%</v>
      </c>
      <c r="E101" t="str">
        <v>Europe</v>
      </c>
      <c r="F101" t="str">
        <v>Western Europe</v>
      </c>
    </row>
    <row r="102" spans="1:6">
      <c r="A102" t="str">
        <v>Belarus</v>
      </c>
      <c r="B102" s="6">
        <v>9173237</v>
      </c>
      <c r="C102" s="6">
        <v>9115680</v>
      </c>
      <c r="D102" t="str">
        <v>−0.63%</v>
      </c>
      <c r="E102" t="str">
        <v>Europe</v>
      </c>
      <c r="F102" t="str">
        <v>Eastern Europe</v>
      </c>
    </row>
    <row r="103" spans="1:6">
      <c r="A103" t="str">
        <v>Switzerland</v>
      </c>
      <c r="B103" s="6">
        <v>8792182</v>
      </c>
      <c r="C103" s="6">
        <v>8870561</v>
      </c>
      <c r="D103" t="str">
        <v>+0.89%</v>
      </c>
      <c r="E103" t="str">
        <v>Europe</v>
      </c>
      <c r="F103" t="str">
        <v>Western Europe</v>
      </c>
    </row>
    <row r="104" spans="1:6">
      <c r="A104" t="str">
        <v>Sierra Leone</v>
      </c>
      <c r="B104" s="6">
        <v>8276807</v>
      </c>
      <c r="C104" s="6">
        <v>8460512</v>
      </c>
      <c r="D104" t="str">
        <v>+2.22%</v>
      </c>
      <c r="E104" t="str">
        <v>Africa</v>
      </c>
      <c r="F104" t="str">
        <v>Western Africa</v>
      </c>
    </row>
    <row r="105" spans="1:6">
      <c r="A105" t="str">
        <v>Laos</v>
      </c>
      <c r="B105" s="6">
        <v>7559007</v>
      </c>
      <c r="C105" s="6">
        <v>7664993</v>
      </c>
      <c r="D105" t="str">
        <v>+1.40%</v>
      </c>
      <c r="E105" t="str">
        <v>Asia</v>
      </c>
      <c r="F105" t="str">
        <v>South-eastern Asia</v>
      </c>
    </row>
    <row r="106" spans="1:6">
      <c r="A106" t="str">
        <v>Hong Kong (China)[k]</v>
      </c>
      <c r="B106" s="6">
        <v>7465915</v>
      </c>
      <c r="C106" s="6">
        <v>7442734</v>
      </c>
      <c r="D106" t="str">
        <v>−0.31%</v>
      </c>
      <c r="E106" t="str">
        <v>Asia</v>
      </c>
      <c r="F106" t="str">
        <v>Eastern Asia</v>
      </c>
    </row>
    <row r="107" spans="1:6">
      <c r="A107" t="str">
        <v>Turkmenistan</v>
      </c>
      <c r="B107" s="6">
        <v>7230193</v>
      </c>
      <c r="C107" s="6">
        <v>7364438</v>
      </c>
      <c r="D107" t="str">
        <v>+1.86%</v>
      </c>
      <c r="E107" t="str">
        <v>Asia</v>
      </c>
      <c r="F107" t="str">
        <v>Central Asia</v>
      </c>
    </row>
    <row r="108" spans="1:6">
      <c r="A108" t="str">
        <v>Libya</v>
      </c>
      <c r="B108" s="6">
        <v>7223805</v>
      </c>
      <c r="C108" s="6">
        <v>7305659</v>
      </c>
      <c r="D108" t="str">
        <v>+1.13%</v>
      </c>
      <c r="E108" t="str">
        <v>Africa</v>
      </c>
      <c r="F108" t="str">
        <v>Northern Africa</v>
      </c>
    </row>
    <row r="109" spans="1:6">
      <c r="A109" t="str">
        <v>Kyrgyzstan</v>
      </c>
      <c r="B109" s="6">
        <v>6955788</v>
      </c>
      <c r="C109" s="6">
        <v>7073516</v>
      </c>
      <c r="D109" t="str">
        <v>+1.69%</v>
      </c>
      <c r="E109" t="str">
        <v>Asia</v>
      </c>
      <c r="F109" t="str">
        <v>Central Asia</v>
      </c>
    </row>
    <row r="110" spans="1:6">
      <c r="A110" t="str">
        <v>Paraguay</v>
      </c>
      <c r="B110" s="6">
        <v>6760464</v>
      </c>
      <c r="C110" s="6">
        <v>6844146</v>
      </c>
      <c r="D110" t="str">
        <v>+1.24%</v>
      </c>
      <c r="E110" t="str">
        <v>Americas</v>
      </c>
      <c r="F110" t="str">
        <v>South America</v>
      </c>
    </row>
    <row r="111" spans="1:6">
      <c r="A111" t="str">
        <v>Nicaragua</v>
      </c>
      <c r="B111" s="6">
        <v>6730654</v>
      </c>
      <c r="C111" s="6">
        <v>6823613</v>
      </c>
      <c r="D111" t="str">
        <v>+1.38%</v>
      </c>
      <c r="E111" t="str">
        <v>Americas</v>
      </c>
      <c r="F111" t="str">
        <v>Central America</v>
      </c>
    </row>
    <row r="112" spans="1:6">
      <c r="A112" t="str">
        <v>Bulgaria</v>
      </c>
      <c r="B112" s="6">
        <v>6825864</v>
      </c>
      <c r="C112" s="6">
        <v>6795803</v>
      </c>
      <c r="D112" t="str">
        <v>−0.44%</v>
      </c>
      <c r="E112" t="str">
        <v>Europe</v>
      </c>
      <c r="F112" t="str">
        <v>Eastern Europe</v>
      </c>
    </row>
    <row r="113" spans="1:6">
      <c r="A113" t="str">
        <v>Serbia[l]</v>
      </c>
      <c r="B113" s="6">
        <v>6791213</v>
      </c>
      <c r="C113" s="6">
        <v>6773201</v>
      </c>
      <c r="D113" t="str">
        <v>−0.27%</v>
      </c>
      <c r="E113" t="str">
        <v>Europe</v>
      </c>
      <c r="F113" t="str">
        <v>Southern Europe</v>
      </c>
    </row>
    <row r="114" spans="1:6">
      <c r="A114" t="str">
        <v>El Salvador</v>
      </c>
      <c r="B114" s="6">
        <v>6280319</v>
      </c>
      <c r="C114" s="6">
        <v>6309624</v>
      </c>
      <c r="D114" t="str">
        <v>+0.47%</v>
      </c>
      <c r="E114" t="str">
        <v>Americas</v>
      </c>
      <c r="F114" t="str">
        <v>Central America</v>
      </c>
    </row>
    <row r="115" spans="1:6">
      <c r="A115" t="str">
        <v>Congo</v>
      </c>
      <c r="B115" s="6">
        <v>6035104</v>
      </c>
      <c r="C115" s="6">
        <v>6182885</v>
      </c>
      <c r="D115" t="str">
        <v>+2.45%</v>
      </c>
      <c r="E115" t="str">
        <v>Africa</v>
      </c>
      <c r="F115" t="str">
        <v>Middle Africa</v>
      </c>
    </row>
    <row r="116" spans="1:6">
      <c r="A116" t="str">
        <v>Denmark</v>
      </c>
      <c r="B116" s="6">
        <v>5902904</v>
      </c>
      <c r="C116" s="6">
        <v>5948136</v>
      </c>
      <c r="D116" t="str">
        <v>+0.77%</v>
      </c>
      <c r="E116" t="str">
        <v>Europe</v>
      </c>
      <c r="F116" t="str">
        <v>Northern Europe</v>
      </c>
    </row>
    <row r="117" spans="1:6">
      <c r="A117" t="str">
        <v>Singapore</v>
      </c>
      <c r="B117" s="6">
        <v>5649885</v>
      </c>
      <c r="C117" s="6">
        <v>5789090</v>
      </c>
      <c r="D117" t="str">
        <v>+2.46%</v>
      </c>
      <c r="E117" t="str">
        <v>Asia</v>
      </c>
      <c r="F117" t="str">
        <v>South-eastern Asia</v>
      </c>
    </row>
    <row r="118" spans="1:6">
      <c r="A118" t="str">
        <v>Lebanon</v>
      </c>
      <c r="B118" s="6">
        <v>5744489</v>
      </c>
      <c r="C118" s="6">
        <v>5733493</v>
      </c>
      <c r="D118" t="str">
        <v>−0.19%</v>
      </c>
      <c r="E118" t="str">
        <v>Asia</v>
      </c>
      <c r="F118" t="str">
        <v>Western Asia</v>
      </c>
    </row>
    <row r="119" spans="1:6">
      <c r="A119" t="str">
        <v>Finland[m]</v>
      </c>
      <c r="B119" s="6">
        <v>5569299</v>
      </c>
      <c r="C119" s="6">
        <v>5601185</v>
      </c>
      <c r="D119" t="str">
        <v>+0.57%</v>
      </c>
      <c r="E119" t="str">
        <v>Europe</v>
      </c>
      <c r="F119" t="str">
        <v>Northern Europe</v>
      </c>
    </row>
    <row r="120" spans="1:6">
      <c r="A120" t="str">
        <v>Norway[n]</v>
      </c>
      <c r="B120" s="6">
        <v>5457801</v>
      </c>
      <c r="C120" s="6">
        <v>5519167</v>
      </c>
      <c r="D120" t="str">
        <v>+1.12%</v>
      </c>
      <c r="E120" t="str">
        <v>Europe</v>
      </c>
      <c r="F120" t="str">
        <v>Northern Europe</v>
      </c>
    </row>
    <row r="121" spans="1:6">
      <c r="A121" t="str">
        <v>Slovakia</v>
      </c>
      <c r="B121" s="6">
        <v>5473197</v>
      </c>
      <c r="C121" s="6">
        <v>5518055</v>
      </c>
      <c r="D121" t="str">
        <v>+0.82%</v>
      </c>
      <c r="E121" t="str">
        <v>Europe</v>
      </c>
      <c r="F121" t="str">
        <v>Eastern Europe</v>
      </c>
    </row>
    <row r="122" spans="1:6">
      <c r="A122" t="str">
        <v>Liberia</v>
      </c>
      <c r="B122" s="6">
        <v>5373294</v>
      </c>
      <c r="C122" s="6">
        <v>5493031</v>
      </c>
      <c r="D122" t="str">
        <v>+2.23%</v>
      </c>
      <c r="E122" t="str">
        <v>Africa</v>
      </c>
      <c r="F122" t="str">
        <v>Western Africa</v>
      </c>
    </row>
    <row r="123" spans="1:6">
      <c r="A123" t="str">
        <v>Palestine[o]</v>
      </c>
      <c r="B123" s="6">
        <v>5305270</v>
      </c>
      <c r="C123" s="6">
        <v>5409202</v>
      </c>
      <c r="D123" t="str">
        <v>+1.96%</v>
      </c>
      <c r="E123" t="str">
        <v>Asia</v>
      </c>
      <c r="F123" t="str">
        <v>Western Asia</v>
      </c>
    </row>
    <row r="124" spans="1:6">
      <c r="A124" t="str">
        <v>Ireland</v>
      </c>
      <c r="B124" s="6">
        <v>5110016</v>
      </c>
      <c r="C124" s="6">
        <v>5196630</v>
      </c>
      <c r="D124" t="str">
        <v>+1.69%</v>
      </c>
      <c r="E124" t="str">
        <v>Europe</v>
      </c>
      <c r="F124" t="str">
        <v>Northern Europe</v>
      </c>
    </row>
    <row r="125" spans="1:6">
      <c r="A125" t="str">
        <v>New Zealand</v>
      </c>
      <c r="B125" s="6">
        <v>5131734</v>
      </c>
      <c r="C125" s="6">
        <v>5172836</v>
      </c>
      <c r="D125" t="str">
        <v>+0.80%</v>
      </c>
      <c r="E125" t="str">
        <v>Oceania</v>
      </c>
      <c r="F125" t="str">
        <v>Australia and New Zealand</v>
      </c>
    </row>
    <row r="126" spans="1:6">
      <c r="A126" t="str">
        <v>Central African Republic</v>
      </c>
      <c r="B126" s="6">
        <v>5098039</v>
      </c>
      <c r="C126" s="6">
        <v>5152421</v>
      </c>
      <c r="D126" t="str">
        <v>+1.07%</v>
      </c>
      <c r="E126" t="str">
        <v>Africa</v>
      </c>
      <c r="F126" t="str">
        <v>Middle Africa</v>
      </c>
    </row>
    <row r="127" spans="1:6">
      <c r="A127" t="str">
        <v>Costa Rica</v>
      </c>
      <c r="B127" s="6">
        <v>5081765</v>
      </c>
      <c r="C127" s="6">
        <v>5105525</v>
      </c>
      <c r="D127" t="str">
        <v>+0.47%</v>
      </c>
      <c r="E127" t="str">
        <v>Americas</v>
      </c>
      <c r="F127" t="str">
        <v>Central America</v>
      </c>
    </row>
    <row r="128" spans="1:6">
      <c r="A128" t="str">
        <v>Oman</v>
      </c>
      <c r="B128" s="6">
        <v>4730226</v>
      </c>
      <c r="C128" s="6">
        <v>5049269</v>
      </c>
      <c r="D128" t="str">
        <v>+6.74%</v>
      </c>
      <c r="E128" t="str">
        <v>Asia</v>
      </c>
      <c r="F128" t="str">
        <v>Western Asia</v>
      </c>
    </row>
    <row r="129" spans="1:6">
      <c r="A129" t="str">
        <v>Mauritania</v>
      </c>
      <c r="B129" s="6">
        <v>4875637</v>
      </c>
      <c r="C129" s="6">
        <v>5022441</v>
      </c>
      <c r="D129" t="str">
        <v>+3.01%</v>
      </c>
      <c r="E129" t="str">
        <v>Africa</v>
      </c>
      <c r="F129" t="str">
        <v>Western Africa</v>
      </c>
    </row>
    <row r="130" spans="1:6">
      <c r="A130" t="str">
        <v>Kuwait</v>
      </c>
      <c r="B130" s="6">
        <v>4589511</v>
      </c>
      <c r="C130" s="6">
        <v>4838782</v>
      </c>
      <c r="D130" t="str">
        <v>+5.43%</v>
      </c>
      <c r="E130" t="str">
        <v>Asia</v>
      </c>
      <c r="F130" t="str">
        <v>Western Asia</v>
      </c>
    </row>
    <row r="131" spans="1:6">
      <c r="A131" t="str">
        <v>Panama</v>
      </c>
      <c r="B131" s="6">
        <v>4400773</v>
      </c>
      <c r="C131" s="6">
        <v>4458759</v>
      </c>
      <c r="D131" t="str">
        <v>+1.32%</v>
      </c>
      <c r="E131" t="str">
        <v>Americas</v>
      </c>
      <c r="F131" t="str">
        <v>Central America</v>
      </c>
    </row>
    <row r="132" spans="1:6">
      <c r="A132" t="str">
        <v>Croatia</v>
      </c>
      <c r="B132" s="6">
        <v>3907027</v>
      </c>
      <c r="C132" s="6">
        <v>3896023</v>
      </c>
      <c r="D132" t="str">
        <v>−0.28%</v>
      </c>
      <c r="E132" t="str">
        <v>Europe</v>
      </c>
      <c r="F132" t="str">
        <v>Southern Europe</v>
      </c>
    </row>
    <row r="133" spans="1:6">
      <c r="A133" t="str">
        <v>Georgia[p]</v>
      </c>
      <c r="B133" s="6">
        <v>3794784</v>
      </c>
      <c r="C133" s="6">
        <v>3807492</v>
      </c>
      <c r="D133" t="str">
        <v>+0.33%</v>
      </c>
      <c r="E133" t="str">
        <v>Asia</v>
      </c>
      <c r="F133" t="str">
        <v>Western Asia</v>
      </c>
    </row>
    <row r="134" spans="1:6">
      <c r="A134" t="str">
        <v>Eritrea</v>
      </c>
      <c r="B134" s="6">
        <v>3409447</v>
      </c>
      <c r="C134" s="6">
        <v>3470390</v>
      </c>
      <c r="D134" t="str">
        <v>+1.79%</v>
      </c>
      <c r="E134" t="str">
        <v>Africa</v>
      </c>
      <c r="F134" t="str">
        <v>Eastern Africa</v>
      </c>
    </row>
    <row r="135" spans="1:6">
      <c r="A135" t="str">
        <v>Mongolia</v>
      </c>
      <c r="B135" s="6">
        <v>3386015</v>
      </c>
      <c r="C135" s="6">
        <v>3431932</v>
      </c>
      <c r="D135" t="str">
        <v>+1.36%</v>
      </c>
      <c r="E135" t="str">
        <v>Asia</v>
      </c>
      <c r="F135" t="str">
        <v>Eastern Asia</v>
      </c>
    </row>
    <row r="136" spans="1:6">
      <c r="A136" t="str">
        <v>Uruguay</v>
      </c>
      <c r="B136" s="6">
        <v>3390913</v>
      </c>
      <c r="C136" s="6">
        <v>3388081</v>
      </c>
      <c r="D136" t="str">
        <v>−0.08%</v>
      </c>
      <c r="E136" t="str">
        <v>Americas</v>
      </c>
      <c r="F136" t="str">
        <v>South America</v>
      </c>
    </row>
    <row r="137" spans="1:6">
      <c r="A137" t="str">
        <v>Puerto Rico (United States)</v>
      </c>
      <c r="B137" s="6">
        <v>3240968</v>
      </c>
      <c r="C137" s="6">
        <v>3242023</v>
      </c>
      <c r="D137" t="str">
        <v>+0.03%</v>
      </c>
      <c r="E137" t="str">
        <v>Americas</v>
      </c>
      <c r="F137" t="str">
        <v>Caribbean</v>
      </c>
    </row>
    <row r="138" spans="1:6">
      <c r="A138" t="str">
        <v>Bosnia and Herzegovina</v>
      </c>
      <c r="B138" s="6">
        <v>3204802</v>
      </c>
      <c r="C138" s="6">
        <v>3185073</v>
      </c>
      <c r="D138" t="str">
        <v>−0.62%</v>
      </c>
      <c r="E138" t="str">
        <v>Europe</v>
      </c>
      <c r="F138" t="str">
        <v>Southern Europe</v>
      </c>
    </row>
    <row r="139" spans="1:6">
      <c r="A139" t="str">
        <v>Moldova[q]</v>
      </c>
      <c r="B139" s="6">
        <v>3039985</v>
      </c>
      <c r="C139" s="6">
        <v>3067070</v>
      </c>
      <c r="D139" t="str">
        <v>+0.89%</v>
      </c>
      <c r="E139" t="str">
        <v>Europe</v>
      </c>
      <c r="F139" t="str">
        <v>Eastern Europe</v>
      </c>
    </row>
    <row r="140" spans="1:6">
      <c r="A140" t="str">
        <v>Qatar</v>
      </c>
      <c r="B140" s="6">
        <v>2892455</v>
      </c>
      <c r="C140" s="6">
        <v>2979082</v>
      </c>
      <c r="D140" t="str">
        <v>+2.99%</v>
      </c>
      <c r="E140" t="str">
        <v>Asia</v>
      </c>
      <c r="F140" t="str">
        <v>Western Asia</v>
      </c>
    </row>
    <row r="141" spans="1:6">
      <c r="A141" t="str">
        <v>Namibia</v>
      </c>
      <c r="B141" s="6">
        <v>2889662</v>
      </c>
      <c r="C141" s="6">
        <v>2963095</v>
      </c>
      <c r="D141" t="str">
        <v>+2.54%</v>
      </c>
      <c r="E141" t="str">
        <v>Africa</v>
      </c>
      <c r="F141" t="str">
        <v>Southern Africa</v>
      </c>
    </row>
    <row r="142" spans="1:6">
      <c r="A142" t="str">
        <v>Armenia</v>
      </c>
      <c r="B142" s="6">
        <v>2880874</v>
      </c>
      <c r="C142" s="6">
        <v>2943393</v>
      </c>
      <c r="D142" t="str">
        <v>+2.17%</v>
      </c>
      <c r="E142" t="str">
        <v>Asia</v>
      </c>
      <c r="F142" t="str">
        <v>Western Asia</v>
      </c>
    </row>
    <row r="143" spans="1:6">
      <c r="A143" t="str">
        <v>Lithuania</v>
      </c>
      <c r="B143" s="6">
        <v>2816919</v>
      </c>
      <c r="C143" s="6">
        <v>2854099</v>
      </c>
      <c r="D143" t="str">
        <v>+1.32%</v>
      </c>
      <c r="E143" t="str">
        <v>Europe</v>
      </c>
      <c r="F143" t="str">
        <v>Northern Europe</v>
      </c>
    </row>
    <row r="144" spans="1:6">
      <c r="A144" t="str">
        <v>Jamaica</v>
      </c>
      <c r="B144" s="6">
        <v>2839144</v>
      </c>
      <c r="C144" s="6">
        <v>2839786</v>
      </c>
      <c r="D144" t="str">
        <v>+0.02%</v>
      </c>
      <c r="E144" t="str">
        <v>Americas</v>
      </c>
      <c r="F144" t="str">
        <v>Caribbean</v>
      </c>
    </row>
    <row r="145" spans="1:6">
      <c r="A145" t="str">
        <v>Albania</v>
      </c>
      <c r="B145" s="6">
        <v>2827608</v>
      </c>
      <c r="C145" s="6">
        <v>2811655</v>
      </c>
      <c r="D145" t="str">
        <v>−0.56%</v>
      </c>
      <c r="E145" t="str">
        <v>Europe</v>
      </c>
      <c r="F145" t="str">
        <v>Southern Europe</v>
      </c>
    </row>
    <row r="146" spans="1:6">
      <c r="A146" t="str">
        <v>Gambia</v>
      </c>
      <c r="B146" s="6">
        <v>2636470</v>
      </c>
      <c r="C146" s="6">
        <v>2697845</v>
      </c>
      <c r="D146" t="str">
        <v>+2.33%</v>
      </c>
      <c r="E146" t="str">
        <v>Africa</v>
      </c>
      <c r="F146" t="str">
        <v>Western Africa</v>
      </c>
    </row>
    <row r="147" spans="1:6">
      <c r="A147" t="str">
        <v>Gabon</v>
      </c>
      <c r="B147" s="6">
        <v>2430747</v>
      </c>
      <c r="C147" s="6">
        <v>2484789</v>
      </c>
      <c r="D147" t="str">
        <v>+2.22%</v>
      </c>
      <c r="E147" t="str">
        <v>Africa</v>
      </c>
      <c r="F147" t="str">
        <v>Middle Africa</v>
      </c>
    </row>
    <row r="148" spans="1:6">
      <c r="A148" t="str">
        <v>Botswana</v>
      </c>
      <c r="B148" s="6">
        <v>2439892</v>
      </c>
      <c r="C148" s="6">
        <v>2480244</v>
      </c>
      <c r="D148" t="str">
        <v>+1.65%</v>
      </c>
      <c r="E148" t="str">
        <v>Africa</v>
      </c>
      <c r="F148" t="str">
        <v>Southern Africa</v>
      </c>
    </row>
    <row r="149" spans="1:6">
      <c r="A149" t="str">
        <v>Lesotho</v>
      </c>
      <c r="B149" s="6">
        <v>2286110</v>
      </c>
      <c r="C149" s="6">
        <v>2311472</v>
      </c>
      <c r="D149" t="str">
        <v>+1.11%</v>
      </c>
      <c r="E149" t="str">
        <v>Africa</v>
      </c>
      <c r="F149" t="str">
        <v>Southern Africa</v>
      </c>
    </row>
    <row r="150" spans="1:6">
      <c r="A150" t="str">
        <v>Guinea-Bissau</v>
      </c>
      <c r="B150" s="6">
        <v>2105529</v>
      </c>
      <c r="C150" s="6">
        <v>2153339</v>
      </c>
      <c r="D150" t="str">
        <v>+2.27%</v>
      </c>
      <c r="E150" t="str">
        <v>Africa</v>
      </c>
      <c r="F150" t="str">
        <v>Western Africa</v>
      </c>
    </row>
    <row r="151" spans="1:6">
      <c r="A151" t="str">
        <v>Slovenia</v>
      </c>
      <c r="B151" s="6">
        <v>2115228</v>
      </c>
      <c r="C151" s="6">
        <v>2118396</v>
      </c>
      <c r="D151" t="str">
        <v>+0.15%</v>
      </c>
      <c r="E151" t="str">
        <v>Europe</v>
      </c>
      <c r="F151" t="str">
        <v>Southern Europe</v>
      </c>
    </row>
    <row r="152" spans="1:6">
      <c r="A152" t="str">
        <v>Latvia</v>
      </c>
      <c r="B152" s="6">
        <v>1881063</v>
      </c>
      <c r="C152" s="6">
        <v>1882396</v>
      </c>
      <c r="D152" t="str">
        <v>+0.07%</v>
      </c>
      <c r="E152" t="str">
        <v>Europe</v>
      </c>
      <c r="F152" t="str">
        <v>Northern Europe</v>
      </c>
    </row>
    <row r="153" spans="1:6">
      <c r="A153" t="str">
        <v>Equatorial Guinea</v>
      </c>
      <c r="B153" s="6">
        <v>1803545</v>
      </c>
      <c r="C153" s="6">
        <v>1847549</v>
      </c>
      <c r="D153" t="str">
        <v>+2.44%</v>
      </c>
      <c r="E153" t="str">
        <v>Africa</v>
      </c>
      <c r="F153" t="str">
        <v>Middle Africa</v>
      </c>
    </row>
    <row r="154" spans="1:6">
      <c r="A154" t="str">
        <v>North Macedonia</v>
      </c>
      <c r="B154" s="6">
        <v>1840233</v>
      </c>
      <c r="C154" s="6">
        <v>1831802</v>
      </c>
      <c r="D154" t="str">
        <v>−0.46%</v>
      </c>
      <c r="E154" t="str">
        <v>Europe</v>
      </c>
      <c r="F154" t="str">
        <v>Southern Europe</v>
      </c>
    </row>
    <row r="155" spans="1:6">
      <c r="A155" t="str">
        <v>Kosovo[r]</v>
      </c>
      <c r="B155" s="6">
        <v>1717946</v>
      </c>
      <c r="C155" s="6">
        <v>1700031</v>
      </c>
      <c r="D155" t="str">
        <v>−1.04%</v>
      </c>
      <c r="E155" t="str">
        <v>Europe</v>
      </c>
      <c r="F155" t="str">
        <v>Southern Europe</v>
      </c>
    </row>
    <row r="156" spans="1:6">
      <c r="A156" t="str">
        <v>Bahrain</v>
      </c>
      <c r="B156" s="6">
        <v>1533459</v>
      </c>
      <c r="C156" s="6">
        <v>1569666</v>
      </c>
      <c r="D156" t="str">
        <v>+2.36%</v>
      </c>
      <c r="E156" t="str">
        <v>Asia</v>
      </c>
      <c r="F156" t="str">
        <v>Western Asia</v>
      </c>
    </row>
    <row r="157" spans="1:6">
      <c r="A157" t="str">
        <v>Trinidad and Tobago</v>
      </c>
      <c r="B157" s="6">
        <v>1495921</v>
      </c>
      <c r="C157" s="6">
        <v>1502932</v>
      </c>
      <c r="D157" t="str">
        <v>+0.47%</v>
      </c>
      <c r="E157" t="str">
        <v>Americas</v>
      </c>
      <c r="F157" t="str">
        <v>Caribbean</v>
      </c>
    </row>
    <row r="158" spans="1:6">
      <c r="A158" t="str">
        <v>Timor-Leste</v>
      </c>
      <c r="B158" s="6">
        <v>1369295</v>
      </c>
      <c r="C158" s="6">
        <v>1384286</v>
      </c>
      <c r="D158" t="str">
        <v>+1.09%</v>
      </c>
      <c r="E158" t="str">
        <v>Asia</v>
      </c>
      <c r="F158" t="str">
        <v>South-eastern Asia</v>
      </c>
    </row>
    <row r="159" spans="1:6">
      <c r="A159" t="str">
        <v>Estonia</v>
      </c>
      <c r="B159" s="6">
        <v>1350091</v>
      </c>
      <c r="C159" s="6">
        <v>1367196</v>
      </c>
      <c r="D159" t="str">
        <v>+1.27%</v>
      </c>
      <c r="E159" t="str">
        <v>Europe</v>
      </c>
      <c r="F159" t="str">
        <v>Northern Europe</v>
      </c>
    </row>
    <row r="160" spans="1:6">
      <c r="A160" t="str">
        <v>Cyprus[s]</v>
      </c>
      <c r="B160" s="6">
        <v>1331370</v>
      </c>
      <c r="C160" s="6">
        <v>1344976</v>
      </c>
      <c r="D160" t="str">
        <v>+1.02%</v>
      </c>
      <c r="E160" t="str">
        <v>Asia</v>
      </c>
      <c r="F160" t="str">
        <v>Western Asia</v>
      </c>
    </row>
    <row r="161" spans="1:6">
      <c r="A161" t="str">
        <v>Mauritius</v>
      </c>
      <c r="B161" s="6">
        <v>1276130</v>
      </c>
      <c r="C161" s="6">
        <v>1273588</v>
      </c>
      <c r="D161" t="str">
        <v>−0.20%</v>
      </c>
      <c r="E161" t="str">
        <v>Africa</v>
      </c>
      <c r="F161" t="str">
        <v>Eastern Africa</v>
      </c>
    </row>
    <row r="162" spans="1:6">
      <c r="A162" t="str">
        <v>Eswatini</v>
      </c>
      <c r="B162" s="6">
        <v>1218917</v>
      </c>
      <c r="C162" s="6">
        <v>1230506</v>
      </c>
      <c r="D162" t="str">
        <v>+0.95%</v>
      </c>
      <c r="E162" t="str">
        <v>Africa</v>
      </c>
      <c r="F162" t="str">
        <v>Southern Africa</v>
      </c>
    </row>
    <row r="163" spans="1:6">
      <c r="A163" t="str">
        <v>Djibouti</v>
      </c>
      <c r="B163" s="6">
        <v>1137096</v>
      </c>
      <c r="C163" s="6">
        <v>1152944</v>
      </c>
      <c r="D163" t="str">
        <v>+1.39%</v>
      </c>
      <c r="E163" t="str">
        <v>Africa</v>
      </c>
      <c r="F163" t="str">
        <v>Eastern Africa</v>
      </c>
    </row>
    <row r="164" spans="1:6">
      <c r="A164" t="str">
        <v>Fiji</v>
      </c>
      <c r="B164" s="6">
        <v>919422</v>
      </c>
      <c r="C164" s="6">
        <v>924145</v>
      </c>
      <c r="D164" t="str">
        <v>+0.51%</v>
      </c>
      <c r="E164" t="str">
        <v>Oceania</v>
      </c>
      <c r="F164" t="str">
        <v>Melanesia</v>
      </c>
    </row>
    <row r="165" spans="1:6">
      <c r="A165" t="str">
        <v>Réunion (France)</v>
      </c>
      <c r="B165" s="6">
        <v>871540</v>
      </c>
      <c r="C165" s="6">
        <v>874883</v>
      </c>
      <c r="D165" t="str">
        <v>+0.38%</v>
      </c>
      <c r="E165" t="str">
        <v>Africa</v>
      </c>
      <c r="F165" t="str">
        <v>Eastern Africa</v>
      </c>
    </row>
    <row r="166" spans="1:6">
      <c r="A166" t="str">
        <v>Comoros</v>
      </c>
      <c r="B166" s="6">
        <v>834188</v>
      </c>
      <c r="C166" s="6">
        <v>850387</v>
      </c>
      <c r="D166" t="str">
        <v>+1.94%</v>
      </c>
      <c r="E166" t="str">
        <v>Africa</v>
      </c>
      <c r="F166" t="str">
        <v>Eastern Africa</v>
      </c>
    </row>
    <row r="167" spans="1:6">
      <c r="A167" t="str">
        <v>Guyana</v>
      </c>
      <c r="B167" s="6">
        <v>821637</v>
      </c>
      <c r="C167" s="6">
        <v>826353</v>
      </c>
      <c r="D167" t="str">
        <v>+0.57%</v>
      </c>
      <c r="E167" t="str">
        <v>Americas</v>
      </c>
      <c r="F167" t="str">
        <v>South America</v>
      </c>
    </row>
    <row r="168" spans="1:6">
      <c r="A168" t="str">
        <v>Solomon Islands</v>
      </c>
      <c r="B168" s="6">
        <v>781066</v>
      </c>
      <c r="C168" s="6">
        <v>800005</v>
      </c>
      <c r="D168" t="str">
        <v>+2.42%</v>
      </c>
      <c r="E168" t="str">
        <v>Oceania</v>
      </c>
      <c r="F168" t="str">
        <v>Melanesia</v>
      </c>
    </row>
    <row r="169" spans="1:6">
      <c r="A169" t="str">
        <v>Bhutan</v>
      </c>
      <c r="B169" s="6">
        <v>780914</v>
      </c>
      <c r="C169" s="6">
        <v>786385</v>
      </c>
      <c r="D169" t="str">
        <v>+0.70%</v>
      </c>
      <c r="E169" t="str">
        <v>Asia</v>
      </c>
      <c r="F169" t="str">
        <v>Southern Asia</v>
      </c>
    </row>
    <row r="170" spans="1:6">
      <c r="A170" t="str">
        <v>Macao (China)[t]</v>
      </c>
      <c r="B170" s="6">
        <v>704356</v>
      </c>
      <c r="C170" s="6">
        <v>713912</v>
      </c>
      <c r="D170" t="str">
        <v>+1.36%</v>
      </c>
      <c r="E170" t="str">
        <v>Asia</v>
      </c>
      <c r="F170" t="str">
        <v>Eastern Asia</v>
      </c>
    </row>
    <row r="171" spans="1:6">
      <c r="A171" t="str">
        <v>Luxembourg</v>
      </c>
      <c r="B171" s="6">
        <v>653313</v>
      </c>
      <c r="C171" s="6">
        <v>665098</v>
      </c>
      <c r="D171" t="str">
        <v>+1.80%</v>
      </c>
      <c r="E171" t="str">
        <v>Europe</v>
      </c>
      <c r="F171" t="str">
        <v>Western Europe</v>
      </c>
    </row>
    <row r="172" spans="1:6">
      <c r="A172" t="str">
        <v>Montenegro</v>
      </c>
      <c r="B172" s="6">
        <v>614648</v>
      </c>
      <c r="C172" s="6">
        <v>633552</v>
      </c>
      <c r="D172" t="str">
        <v>+3.08%</v>
      </c>
      <c r="E172" t="str">
        <v>Europe</v>
      </c>
      <c r="F172" t="str">
        <v>Southern Europe</v>
      </c>
    </row>
    <row r="173" spans="1:6">
      <c r="A173" t="str">
        <v>Suriname</v>
      </c>
      <c r="B173" s="6">
        <v>623164</v>
      </c>
      <c r="C173" s="6">
        <v>628886</v>
      </c>
      <c r="D173" t="str">
        <v>+0.92%</v>
      </c>
      <c r="E173" t="str">
        <v>Americas</v>
      </c>
      <c r="F173" t="str">
        <v>South America</v>
      </c>
    </row>
    <row r="174" spans="1:6">
      <c r="A174" t="str">
        <v>Western Sahara (disputed)</v>
      </c>
      <c r="B174" s="6">
        <v>568739</v>
      </c>
      <c r="C174" s="6">
        <v>579729</v>
      </c>
      <c r="D174" t="str">
        <v>+1.93%</v>
      </c>
      <c r="E174" t="str">
        <v>Africa</v>
      </c>
      <c r="F174" t="str">
        <v>Northern Africa</v>
      </c>
    </row>
    <row r="175" spans="1:6">
      <c r="A175" t="str">
        <v>Malta</v>
      </c>
      <c r="B175" s="6">
        <v>528192</v>
      </c>
      <c r="C175" s="6">
        <v>532956</v>
      </c>
      <c r="D175" t="str">
        <v>+0.90%</v>
      </c>
      <c r="E175" t="str">
        <v>Europe</v>
      </c>
      <c r="F175" t="str">
        <v>Southern Europe</v>
      </c>
    </row>
    <row r="176" spans="1:6">
      <c r="A176" t="str">
        <v>Maldives</v>
      </c>
      <c r="B176" s="6">
        <v>524106</v>
      </c>
      <c r="C176" s="6">
        <v>525994</v>
      </c>
      <c r="D176" t="str">
        <v>+0.36%</v>
      </c>
      <c r="E176" t="str">
        <v>Asia</v>
      </c>
      <c r="F176" t="str">
        <v>Southern Asia</v>
      </c>
    </row>
    <row r="177" spans="1:6">
      <c r="A177" t="str">
        <v>Cape Verde</v>
      </c>
      <c r="B177" s="6">
        <v>519741</v>
      </c>
      <c r="C177" s="6">
        <v>522331</v>
      </c>
      <c r="D177" t="str">
        <v>+0.50%</v>
      </c>
      <c r="E177" t="str">
        <v>Africa</v>
      </c>
      <c r="F177" t="str">
        <v>Western Africa</v>
      </c>
    </row>
    <row r="178" spans="1:6">
      <c r="A178" t="str">
        <v>Brunei</v>
      </c>
      <c r="B178" s="6">
        <v>455370</v>
      </c>
      <c r="C178" s="6">
        <v>458949</v>
      </c>
      <c r="D178" t="str">
        <v>+0.79%</v>
      </c>
      <c r="E178" t="str">
        <v>Asia</v>
      </c>
      <c r="F178" t="str">
        <v>South-eastern Asia</v>
      </c>
    </row>
    <row r="179" spans="1:6">
      <c r="A179" t="str">
        <v>Belize</v>
      </c>
      <c r="B179" s="6">
        <v>402733</v>
      </c>
      <c r="C179" s="6">
        <v>411106</v>
      </c>
      <c r="D179" t="str">
        <v>+2.08%</v>
      </c>
      <c r="E179" t="str">
        <v>Americas</v>
      </c>
      <c r="F179" t="str">
        <v>Central America</v>
      </c>
    </row>
    <row r="180" spans="1:6">
      <c r="A180" t="str">
        <v>Bahamas</v>
      </c>
      <c r="B180" s="6">
        <v>397538</v>
      </c>
      <c r="C180" s="6">
        <v>399440</v>
      </c>
      <c r="D180" t="str">
        <v>+0.48%</v>
      </c>
      <c r="E180" t="str">
        <v>Americas</v>
      </c>
      <c r="F180" t="str">
        <v>Caribbean</v>
      </c>
    </row>
    <row r="181" spans="1:6">
      <c r="A181" t="str">
        <v>Iceland</v>
      </c>
      <c r="B181" s="6">
        <v>380356</v>
      </c>
      <c r="C181" s="6">
        <v>387558</v>
      </c>
      <c r="D181" t="str">
        <v>+1.89%</v>
      </c>
      <c r="E181" t="str">
        <v>Europe</v>
      </c>
      <c r="F181" t="str">
        <v>Northern Europe</v>
      </c>
    </row>
    <row r="182" spans="1:6">
      <c r="A182" t="str">
        <v>Guadeloupe (France)</v>
      </c>
      <c r="B182" s="6">
        <v>384697</v>
      </c>
      <c r="C182" s="6">
        <v>376517</v>
      </c>
      <c r="D182" t="str">
        <v>−2.13%</v>
      </c>
      <c r="E182" t="str">
        <v>Americas</v>
      </c>
      <c r="F182" t="str">
        <v>Caribbean</v>
      </c>
    </row>
    <row r="183" spans="1:6">
      <c r="A183" t="str">
        <v>Martinique (France)</v>
      </c>
      <c r="B183" s="6">
        <v>349459</v>
      </c>
      <c r="C183" s="6">
        <v>346002</v>
      </c>
      <c r="D183" t="str">
        <v>−0.99%</v>
      </c>
      <c r="E183" t="str">
        <v>Americas</v>
      </c>
      <c r="F183" t="str">
        <v>Caribbean</v>
      </c>
    </row>
    <row r="184" spans="1:6">
      <c r="A184" t="str">
        <v>Vanuatu</v>
      </c>
      <c r="B184" s="6">
        <v>313046</v>
      </c>
      <c r="C184" s="6">
        <v>320409</v>
      </c>
      <c r="D184" t="str">
        <v>+2.35%</v>
      </c>
      <c r="E184" t="str">
        <v>Oceania</v>
      </c>
      <c r="F184" t="str">
        <v>Melanesia</v>
      </c>
    </row>
    <row r="185" spans="1:6">
      <c r="A185" t="str">
        <v>Mayotte (France)</v>
      </c>
      <c r="B185" s="6">
        <v>305269</v>
      </c>
      <c r="C185" s="6">
        <v>316015</v>
      </c>
      <c r="D185" t="str">
        <v>+3.52%</v>
      </c>
      <c r="E185" t="str">
        <v>Africa</v>
      </c>
      <c r="F185" t="str">
        <v>Eastern Africa</v>
      </c>
    </row>
    <row r="186" spans="1:6">
      <c r="A186" t="str">
        <v>French Guiana (France)</v>
      </c>
      <c r="B186" s="6">
        <v>298306</v>
      </c>
      <c r="C186" s="6">
        <v>303402</v>
      </c>
      <c r="D186" t="str">
        <v>+1.71%</v>
      </c>
      <c r="E186" t="str">
        <v>Americas</v>
      </c>
      <c r="F186" t="str">
        <v>South America</v>
      </c>
    </row>
    <row r="187" spans="1:6">
      <c r="A187" t="str">
        <v>New Caledonia (France)</v>
      </c>
      <c r="B187" s="6">
        <v>287123</v>
      </c>
      <c r="C187" s="6">
        <v>289870</v>
      </c>
      <c r="D187" t="str">
        <v>+0.96%</v>
      </c>
      <c r="E187" t="str">
        <v>Oceania</v>
      </c>
      <c r="F187" t="str">
        <v>Melanesia</v>
      </c>
    </row>
    <row r="188" spans="1:6">
      <c r="A188" t="str">
        <v>Barbados</v>
      </c>
      <c r="B188" s="6">
        <v>288318</v>
      </c>
      <c r="C188" s="6">
        <v>282336</v>
      </c>
      <c r="D188" t="str">
        <v>−2.07%</v>
      </c>
      <c r="E188" t="str">
        <v>Americas</v>
      </c>
      <c r="F188" t="str">
        <v>Caribbean</v>
      </c>
    </row>
    <row r="189" spans="1:6">
      <c r="A189" t="str">
        <v>French Polynesia (France)</v>
      </c>
      <c r="B189" s="6">
        <v>280378</v>
      </c>
      <c r="C189" s="6">
        <v>281118</v>
      </c>
      <c r="D189" t="str">
        <v>+0.26%</v>
      </c>
      <c r="E189" t="str">
        <v>Oceania</v>
      </c>
      <c r="F189" t="str">
        <v>Polynesia</v>
      </c>
    </row>
    <row r="190" spans="1:6">
      <c r="A190" t="str">
        <v>São Tomé and Príncipe</v>
      </c>
      <c r="B190" s="6">
        <v>226305</v>
      </c>
      <c r="C190" s="6">
        <v>230871</v>
      </c>
      <c r="D190" t="str">
        <v>+2.02%</v>
      </c>
      <c r="E190" t="str">
        <v>Africa</v>
      </c>
      <c r="F190" t="str">
        <v>Middle Africa</v>
      </c>
    </row>
    <row r="191" spans="1:6">
      <c r="A191" t="str">
        <v>Samoa</v>
      </c>
      <c r="B191" s="6">
        <v>215261</v>
      </c>
      <c r="C191" s="6">
        <v>216663</v>
      </c>
      <c r="D191" t="str">
        <v>+0.65%</v>
      </c>
      <c r="E191" t="str">
        <v>Oceania</v>
      </c>
      <c r="F191" t="str">
        <v>Polynesia</v>
      </c>
    </row>
    <row r="192" spans="1:6">
      <c r="A192" t="str">
        <v>Curaçao (Netherlands)</v>
      </c>
      <c r="B192" s="6">
        <v>185345</v>
      </c>
      <c r="C192" s="6">
        <v>185427</v>
      </c>
      <c r="D192" t="str">
        <v>+0.04%</v>
      </c>
      <c r="E192" t="str">
        <v>Americas</v>
      </c>
      <c r="F192" t="str">
        <v>Caribbean</v>
      </c>
    </row>
    <row r="193" spans="1:6">
      <c r="A193" t="str">
        <v>Saint Lucia</v>
      </c>
      <c r="B193" s="6">
        <v>178781</v>
      </c>
      <c r="C193" s="6">
        <v>179285</v>
      </c>
      <c r="D193" t="str">
        <v>+0.28%</v>
      </c>
      <c r="E193" t="str">
        <v>Americas</v>
      </c>
      <c r="F193" t="str">
        <v>Caribbean</v>
      </c>
    </row>
    <row r="194" spans="1:6">
      <c r="A194" t="str">
        <v>Guam (United States)</v>
      </c>
      <c r="B194" s="6">
        <v>165180</v>
      </c>
      <c r="C194" s="6">
        <v>166506</v>
      </c>
      <c r="D194" t="str">
        <v>+0.80%</v>
      </c>
      <c r="E194" t="str">
        <v>Oceania</v>
      </c>
      <c r="F194" t="str">
        <v>Micronesia</v>
      </c>
    </row>
    <row r="195" spans="1:6">
      <c r="A195" t="str">
        <v>Kiribati</v>
      </c>
      <c r="B195" s="6">
        <v>130469</v>
      </c>
      <c r="C195" s="6">
        <v>132530</v>
      </c>
      <c r="D195" t="str">
        <v>+1.58%</v>
      </c>
      <c r="E195" t="str">
        <v>Oceania</v>
      </c>
      <c r="F195" t="str">
        <v>Micronesia</v>
      </c>
    </row>
    <row r="196" spans="1:6">
      <c r="A196" t="str">
        <v>Seychelles</v>
      </c>
      <c r="B196" s="6">
        <v>125522</v>
      </c>
      <c r="C196" s="6">
        <v>127951</v>
      </c>
      <c r="D196" t="str">
        <v>+1.94%</v>
      </c>
      <c r="E196" t="str">
        <v>Africa</v>
      </c>
      <c r="F196" t="str">
        <v>Eastern Africa</v>
      </c>
    </row>
    <row r="197" spans="1:6">
      <c r="A197" t="str">
        <v>Grenada</v>
      </c>
      <c r="B197" s="6">
        <v>116913</v>
      </c>
      <c r="C197" s="6">
        <v>117081</v>
      </c>
      <c r="D197" t="str">
        <v>+0.14%</v>
      </c>
      <c r="E197" t="str">
        <v>Americas</v>
      </c>
      <c r="F197" t="str">
        <v>Caribbean</v>
      </c>
    </row>
    <row r="198" spans="1:6">
      <c r="A198" t="str">
        <v>Federated States of Micronesia</v>
      </c>
      <c r="B198" s="6">
        <v>112114</v>
      </c>
      <c r="C198" s="6">
        <v>112630</v>
      </c>
      <c r="D198" t="str">
        <v>+0.46%</v>
      </c>
      <c r="E198" t="str">
        <v>Oceania</v>
      </c>
      <c r="F198" t="str">
        <v>Micronesia</v>
      </c>
    </row>
    <row r="199" spans="1:6">
      <c r="A199" t="str">
        <v>Tonga</v>
      </c>
      <c r="B199" s="6">
        <v>105042</v>
      </c>
      <c r="C199" s="6">
        <v>104597</v>
      </c>
      <c r="D199" t="str">
        <v>−0.42%</v>
      </c>
      <c r="E199" t="str">
        <v>Oceania</v>
      </c>
      <c r="F199" t="str">
        <v>Polynesia</v>
      </c>
    </row>
    <row r="200" spans="1:6">
      <c r="A200" t="str">
        <v>Aruba (Netherlands)</v>
      </c>
      <c r="B200" s="6">
        <v>107782</v>
      </c>
      <c r="C200" s="6">
        <v>107939</v>
      </c>
      <c r="D200" t="str">
        <v>+0.15%</v>
      </c>
      <c r="E200" t="str">
        <v>Americas</v>
      </c>
      <c r="F200" t="str">
        <v>Caribbean</v>
      </c>
    </row>
    <row r="201" spans="1:6">
      <c r="A201" t="str">
        <v>Jersey (United Kingdom)</v>
      </c>
      <c r="B201" s="6">
        <v>103490</v>
      </c>
      <c r="C201" s="6">
        <v>103674</v>
      </c>
      <c r="D201" t="str">
        <v>+0.18%</v>
      </c>
      <c r="E201" t="str">
        <v>Europe</v>
      </c>
      <c r="F201" t="str">
        <v>Northern Europe</v>
      </c>
    </row>
    <row r="202" spans="1:6">
      <c r="A202" t="str">
        <v>Saint Vincent and the Grenadines</v>
      </c>
      <c r="B202" s="6">
        <v>102046</v>
      </c>
      <c r="C202" s="6">
        <v>101323</v>
      </c>
      <c r="D202" t="str">
        <v>−0.71%</v>
      </c>
      <c r="E202" t="str">
        <v>Americas</v>
      </c>
      <c r="F202" t="str">
        <v>Caribbean</v>
      </c>
    </row>
    <row r="203" spans="1:6">
      <c r="A203" t="str">
        <v>Antigua and Barbuda</v>
      </c>
      <c r="B203" s="6">
        <v>92840</v>
      </c>
      <c r="C203" s="6">
        <v>93316</v>
      </c>
      <c r="D203" t="str">
        <v>+0.51%</v>
      </c>
      <c r="E203" t="str">
        <v>Americas</v>
      </c>
      <c r="F203" t="str">
        <v>Caribbean</v>
      </c>
    </row>
    <row r="204" spans="1:6">
      <c r="A204" t="str">
        <v>U.S. Virgin Islands (United States)</v>
      </c>
      <c r="B204" s="6">
        <v>86507</v>
      </c>
      <c r="C204" s="6">
        <v>85701</v>
      </c>
      <c r="D204" t="str">
        <v>−0.93%</v>
      </c>
      <c r="E204" t="str">
        <v>Americas</v>
      </c>
      <c r="F204" t="str">
        <v>Caribbean</v>
      </c>
    </row>
    <row r="205" spans="1:6">
      <c r="A205" t="str">
        <v>Isle of Man (United Kingdom)</v>
      </c>
      <c r="B205" s="6">
        <v>84132</v>
      </c>
      <c r="C205" s="6">
        <v>84165</v>
      </c>
      <c r="D205" t="str">
        <v>+0.04%</v>
      </c>
      <c r="E205" t="str">
        <v>Europe</v>
      </c>
      <c r="F205" t="str">
        <v>Northern Europe</v>
      </c>
    </row>
    <row r="206" spans="1:6">
      <c r="A206" t="str">
        <v>Andorra</v>
      </c>
      <c r="B206" s="6">
        <v>79705</v>
      </c>
      <c r="C206" s="6">
        <v>80856</v>
      </c>
      <c r="D206" t="str">
        <v>+1.44%</v>
      </c>
      <c r="E206" t="str">
        <v>Europe</v>
      </c>
      <c r="F206" t="str">
        <v>Southern Europe</v>
      </c>
    </row>
    <row r="207" spans="1:6">
      <c r="A207" t="str">
        <v>Cayman Islands (United Kingdom)</v>
      </c>
      <c r="B207" s="6">
        <v>71591</v>
      </c>
      <c r="C207" s="6">
        <v>73038</v>
      </c>
      <c r="D207" t="str">
        <v>+2.02%</v>
      </c>
      <c r="E207" t="str">
        <v>Americas</v>
      </c>
      <c r="F207" t="str">
        <v>Caribbean</v>
      </c>
    </row>
    <row r="208" spans="1:6">
      <c r="A208" t="str">
        <v>Dominica</v>
      </c>
      <c r="B208" s="6">
        <v>66826</v>
      </c>
      <c r="C208" s="6">
        <v>66510</v>
      </c>
      <c r="D208" t="str">
        <v>−0.47%</v>
      </c>
      <c r="E208" t="str">
        <v>Americas</v>
      </c>
      <c r="F208" t="str">
        <v>Caribbean</v>
      </c>
    </row>
    <row r="209" spans="1:6">
      <c r="A209" t="str">
        <v>Bermuda (United Kingdom)</v>
      </c>
      <c r="B209" s="6">
        <v>64749</v>
      </c>
      <c r="C209" s="6">
        <v>64698</v>
      </c>
      <c r="D209" t="str">
        <v>−0.08%</v>
      </c>
      <c r="E209" t="str">
        <v>Americas</v>
      </c>
      <c r="F209" t="str">
        <v>Northern America</v>
      </c>
    </row>
    <row r="210" spans="1:6">
      <c r="A210" t="str">
        <v>Guernsey (United Kingdom)</v>
      </c>
      <c r="B210" s="6">
        <v>63725</v>
      </c>
      <c r="C210" s="6">
        <v>64017</v>
      </c>
      <c r="D210" t="str">
        <v>+0.46%</v>
      </c>
      <c r="E210" t="str">
        <v>Europe</v>
      </c>
      <c r="F210" t="str">
        <v>Northern Europe</v>
      </c>
    </row>
    <row r="211" spans="1:6">
      <c r="A211" t="str">
        <v>Greenland (Denmark)</v>
      </c>
      <c r="B211" s="6">
        <v>54990</v>
      </c>
      <c r="C211" s="6">
        <v>55922</v>
      </c>
      <c r="D211" t="str">
        <v>+1.69%</v>
      </c>
      <c r="E211" t="str">
        <v>Americas</v>
      </c>
      <c r="F211" t="str">
        <v>Northern America</v>
      </c>
    </row>
    <row r="212" spans="1:6">
      <c r="A212" t="str">
        <v>Faroe Islands (Denmark)</v>
      </c>
      <c r="B212" s="6">
        <v>54011</v>
      </c>
      <c r="C212" s="6">
        <v>54714</v>
      </c>
      <c r="D212" t="str">
        <v>+1.30%</v>
      </c>
      <c r="E212" t="str">
        <v>Europe</v>
      </c>
      <c r="F212" t="str">
        <v>Northern Europe</v>
      </c>
    </row>
    <row r="213" spans="1:6">
      <c r="A213" t="str">
        <v>American Samoa (United States)</v>
      </c>
      <c r="B213" s="6">
        <v>48342</v>
      </c>
      <c r="C213" s="6">
        <v>47521</v>
      </c>
      <c r="D213" t="str">
        <v>−1.70%</v>
      </c>
      <c r="E213" t="str">
        <v>Oceania</v>
      </c>
      <c r="F213" t="str">
        <v>Polynesia</v>
      </c>
    </row>
    <row r="214" spans="1:6">
      <c r="A214" t="str">
        <v>Saint Kitts and Nevis</v>
      </c>
      <c r="B214" s="6">
        <v>46709</v>
      </c>
      <c r="C214" s="6">
        <v>46758</v>
      </c>
      <c r="D214" t="str">
        <v>+0.10%</v>
      </c>
      <c r="E214" t="str">
        <v>Americas</v>
      </c>
      <c r="F214" t="str">
        <v>Caribbean</v>
      </c>
    </row>
    <row r="215" spans="1:6">
      <c r="A215" t="str">
        <v>Turks and Caicos Islands (United Kingdom)</v>
      </c>
      <c r="B215" s="6">
        <v>45847</v>
      </c>
      <c r="C215" s="6">
        <v>46198</v>
      </c>
      <c r="D215" t="str">
        <v>+0.77%</v>
      </c>
      <c r="E215" t="str">
        <v>Americas</v>
      </c>
      <c r="F215" t="str">
        <v>Caribbean</v>
      </c>
    </row>
    <row r="216" spans="1:6">
      <c r="A216" t="str">
        <v>Northern Mariana Islands (United States)</v>
      </c>
      <c r="B216" s="6">
        <v>46078</v>
      </c>
      <c r="C216" s="6">
        <v>45143</v>
      </c>
      <c r="D216" t="str">
        <v>−2.03%</v>
      </c>
      <c r="E216" t="str">
        <v>Oceania</v>
      </c>
      <c r="F216" t="str">
        <v>Micronesia</v>
      </c>
    </row>
    <row r="217" spans="1:6">
      <c r="A217" t="str">
        <v>Sint Maarten (Netherlands)</v>
      </c>
      <c r="B217" s="6">
        <v>42139</v>
      </c>
      <c r="C217" s="6">
        <v>42749</v>
      </c>
      <c r="D217" t="str">
        <v>+1.45%</v>
      </c>
      <c r="E217" t="str">
        <v>Americas</v>
      </c>
      <c r="F217" t="str">
        <v>Caribbean</v>
      </c>
    </row>
    <row r="218" spans="1:6">
      <c r="A218" t="str">
        <v>Liechtenstein</v>
      </c>
      <c r="B218" s="6">
        <v>39317</v>
      </c>
      <c r="C218" s="6">
        <v>39598</v>
      </c>
      <c r="D218" t="str">
        <v>+0.71%</v>
      </c>
      <c r="E218" t="str">
        <v>Europe</v>
      </c>
      <c r="F218" t="str">
        <v>Western Europe</v>
      </c>
    </row>
    <row r="219" spans="1:6">
      <c r="A219" t="str">
        <v>British Virgin Islands (United Kingdom)</v>
      </c>
      <c r="B219" s="6">
        <v>38319</v>
      </c>
      <c r="C219" s="6">
        <v>38985</v>
      </c>
      <c r="D219" t="str">
        <v>+1.74%</v>
      </c>
      <c r="E219" t="str">
        <v>Americas</v>
      </c>
      <c r="F219" t="str">
        <v>Caribbean</v>
      </c>
    </row>
    <row r="220" spans="1:6">
      <c r="A220" t="str">
        <v>Monaco</v>
      </c>
      <c r="B220" s="6">
        <v>38931</v>
      </c>
      <c r="C220" s="6">
        <v>38956</v>
      </c>
      <c r="D220" t="str">
        <v>+0.06%</v>
      </c>
      <c r="E220" t="str">
        <v>Europe</v>
      </c>
      <c r="F220" t="str">
        <v>Western Europe</v>
      </c>
    </row>
    <row r="221" spans="1:6">
      <c r="A221" t="str">
        <v>Gibraltar (United Kingdom)</v>
      </c>
      <c r="B221" s="6">
        <v>37609</v>
      </c>
      <c r="C221" s="6">
        <v>38471</v>
      </c>
      <c r="D221" t="str">
        <v>+2.29%</v>
      </c>
      <c r="E221" t="str">
        <v>Europe</v>
      </c>
      <c r="F221" t="str">
        <v>Southern Europe</v>
      </c>
    </row>
    <row r="222" spans="1:6">
      <c r="A222" t="str">
        <v>Marshall Islands</v>
      </c>
      <c r="B222" s="6">
        <v>40077</v>
      </c>
      <c r="C222" s="6">
        <v>38827</v>
      </c>
      <c r="D222" t="str">
        <v>−3.12%</v>
      </c>
      <c r="E222" t="str">
        <v>Oceania</v>
      </c>
      <c r="F222" t="str">
        <v>Micronesia</v>
      </c>
    </row>
    <row r="223" spans="1:6">
      <c r="A223" t="str">
        <v>San Marino</v>
      </c>
      <c r="B223" s="6">
        <v>34090</v>
      </c>
      <c r="C223" s="6">
        <v>33733</v>
      </c>
      <c r="D223" t="str">
        <v>−1.05%</v>
      </c>
      <c r="E223" t="str">
        <v>Europe</v>
      </c>
      <c r="F223" t="str">
        <v>Southern Europe</v>
      </c>
    </row>
    <row r="224" spans="1:6">
      <c r="A224" t="str">
        <v>Caribbean Netherlands (Netherlands)[u]</v>
      </c>
      <c r="B224" s="6">
        <v>28627</v>
      </c>
      <c r="C224" s="6">
        <v>29898</v>
      </c>
      <c r="D224" t="str">
        <v>+4.44%</v>
      </c>
      <c r="E224" t="str">
        <v>Americas</v>
      </c>
      <c r="F224" t="str">
        <v>Caribbean</v>
      </c>
    </row>
    <row r="225" spans="1:6">
      <c r="A225" t="str">
        <v>Saint Martin (France)</v>
      </c>
      <c r="B225" s="6">
        <v>28870</v>
      </c>
      <c r="C225" s="6">
        <v>27515</v>
      </c>
      <c r="D225" t="str">
        <v>−4.69%</v>
      </c>
      <c r="E225" t="str">
        <v>Americas</v>
      </c>
      <c r="F225" t="str">
        <v>Caribbean</v>
      </c>
    </row>
    <row r="226" spans="1:6">
      <c r="A226" t="str">
        <v>Palau</v>
      </c>
      <c r="B226" s="6">
        <v>17759</v>
      </c>
      <c r="C226" s="6">
        <v>17727</v>
      </c>
      <c r="D226" t="str">
        <v>−0.18%</v>
      </c>
      <c r="E226" t="str">
        <v>Oceania</v>
      </c>
      <c r="F226" t="str">
        <v>Micronesia</v>
      </c>
    </row>
    <row r="227" spans="1:6">
      <c r="A227" t="str">
        <v>Anguilla (United Kingdom)</v>
      </c>
      <c r="B227" s="6">
        <v>14180</v>
      </c>
      <c r="C227" s="6">
        <v>14410</v>
      </c>
      <c r="D227" t="str">
        <v>+1.62%</v>
      </c>
      <c r="E227" t="str">
        <v>Americas</v>
      </c>
      <c r="F227" t="str">
        <v>Caribbean</v>
      </c>
    </row>
    <row r="228" spans="1:6">
      <c r="A228" t="str">
        <v>Cook Islands</v>
      </c>
      <c r="B228" s="6">
        <v>14723</v>
      </c>
      <c r="C228" s="6">
        <v>14222</v>
      </c>
      <c r="D228" t="str">
        <v>−3.40%</v>
      </c>
      <c r="E228" t="str">
        <v>Oceania</v>
      </c>
      <c r="F228" t="str">
        <v>Polynesia</v>
      </c>
    </row>
    <row r="229" spans="1:6">
      <c r="A229" t="str">
        <v>Nauru</v>
      </c>
      <c r="B229" s="6">
        <v>11801</v>
      </c>
      <c r="C229" s="6">
        <v>11875</v>
      </c>
      <c r="D229" t="str">
        <v>+0.63%</v>
      </c>
      <c r="E229" t="str">
        <v>Oceania</v>
      </c>
      <c r="F229" t="str">
        <v>Micronesia</v>
      </c>
    </row>
    <row r="230" spans="1:6">
      <c r="A230" t="str">
        <v>Wallis and Futuna (France)</v>
      </c>
      <c r="B230" s="6">
        <v>11478</v>
      </c>
      <c r="C230" s="6">
        <v>11370</v>
      </c>
      <c r="D230" t="str">
        <v>−0.94%</v>
      </c>
      <c r="E230" t="str">
        <v>Oceania</v>
      </c>
      <c r="F230" t="str">
        <v>Polynesia</v>
      </c>
    </row>
    <row r="231" spans="1:6">
      <c r="A231" t="str">
        <v>Saint Barthélemy (France)</v>
      </c>
      <c r="B231" s="6">
        <v>10920</v>
      </c>
      <c r="C231" s="6">
        <v>11085</v>
      </c>
      <c r="D231" t="str">
        <v>+1.51%</v>
      </c>
      <c r="E231" t="str">
        <v>Americas</v>
      </c>
      <c r="F231" t="str">
        <v>Caribbean</v>
      </c>
    </row>
    <row r="232" spans="1:6">
      <c r="A232" t="str">
        <v>Tuvalu</v>
      </c>
      <c r="B232" s="6">
        <v>9992</v>
      </c>
      <c r="C232" s="6">
        <v>9816</v>
      </c>
      <c r="D232" t="str">
        <v>−1.76%</v>
      </c>
      <c r="E232" t="str">
        <v>Oceania</v>
      </c>
      <c r="F232" t="str">
        <v>Polynesia</v>
      </c>
    </row>
    <row r="233" spans="1:6">
      <c r="A233" t="str">
        <v>Saint Pierre and Miquelon (France)</v>
      </c>
      <c r="B233" s="6">
        <v>5732</v>
      </c>
      <c r="C233" s="6">
        <v>5681</v>
      </c>
      <c r="D233" t="str">
        <v>−0.89%</v>
      </c>
      <c r="E233" t="str">
        <v>Americas</v>
      </c>
      <c r="F233" t="str">
        <v>Northern America</v>
      </c>
    </row>
    <row r="234" spans="1:6">
      <c r="A234" t="str">
        <v>Saint Helena (United Kingdom)[v]</v>
      </c>
      <c r="B234" s="6">
        <v>5343</v>
      </c>
      <c r="C234" s="6">
        <v>5289</v>
      </c>
      <c r="D234" t="str">
        <v>−1.01%</v>
      </c>
      <c r="E234" t="str">
        <v>Africa</v>
      </c>
      <c r="F234" t="str">
        <v>Western Africa</v>
      </c>
    </row>
    <row r="235" spans="1:6">
      <c r="A235" t="str">
        <v>Montserrat (United Kingdom)</v>
      </c>
      <c r="B235" s="6">
        <v>4453</v>
      </c>
      <c r="C235" s="6">
        <v>4420</v>
      </c>
      <c r="D235" t="str">
        <v>−0.74%</v>
      </c>
      <c r="E235" t="str">
        <v>Americas</v>
      </c>
      <c r="F235" t="str">
        <v>Caribbean</v>
      </c>
    </row>
    <row r="236" spans="1:6">
      <c r="A236" t="str">
        <v>Falkland Islands (United Kingdom)</v>
      </c>
      <c r="B236" s="6">
        <v>3490</v>
      </c>
      <c r="C236" s="6">
        <v>3477</v>
      </c>
      <c r="D236" t="str">
        <v>−0.37%</v>
      </c>
      <c r="E236" t="str">
        <v>Americas</v>
      </c>
      <c r="F236" t="str">
        <v>South America</v>
      </c>
    </row>
    <row r="237" spans="1:6">
      <c r="A237" t="str">
        <v>Tokelau (New Zealand)</v>
      </c>
      <c r="B237" s="6">
        <v>2290</v>
      </c>
      <c r="C237" s="6">
        <v>2397</v>
      </c>
      <c r="D237" t="str">
        <v>+4.67%</v>
      </c>
      <c r="E237" t="str">
        <v>Oceania</v>
      </c>
      <c r="F237" t="str">
        <v>Polynesia</v>
      </c>
    </row>
    <row r="238" spans="1:6">
      <c r="A238" t="str">
        <v>Niue</v>
      </c>
      <c r="B238" s="6">
        <v>1821</v>
      </c>
      <c r="C238" s="6">
        <v>1817</v>
      </c>
      <c r="D238" t="str">
        <v>−0.22%</v>
      </c>
      <c r="E238" t="str">
        <v>Oceania</v>
      </c>
      <c r="F238" t="str">
        <v>Polynesia</v>
      </c>
    </row>
    <row r="239" spans="1:6">
      <c r="A239" t="str">
        <v>Vatican City[w]</v>
      </c>
      <c r="B239" s="6">
        <v>505</v>
      </c>
      <c r="C239" s="6">
        <v>496</v>
      </c>
      <c r="D239" t="str">
        <v>−1.78%</v>
      </c>
      <c r="E239" t="str">
        <v>Europe</v>
      </c>
      <c r="F239" t="str">
        <v>Southern Europe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BA9-F46D-42FF-B3DC-49DE81900448}">
  <sheetPr>
    <tabColor theme="5" tint="-0.249977111117893"/>
  </sheetPr>
  <dimension ref="A1:E367"/>
  <sheetViews>
    <sheetView zoomScale="85" zoomScaleNormal="85" workbookViewId="0">
      <selection activeCell="E2" sqref="E2"/>
    </sheetView>
  </sheetViews>
  <sheetFormatPr defaultColWidth="8.734375" defaultRowHeight="14.25"/>
  <cols>
    <col min="1" max="1" width="8.20703125" style="3" customWidth="1"/>
    <col min="2" max="3" width="8.734375" style="3"/>
    <col min="4" max="4" width="14.20703125" style="3" bestFit="1" customWidth="1"/>
    <col min="5" max="5" width="8.734375" style="3"/>
    <col min="6" max="6" width="11.83984375" style="3" bestFit="1" customWidth="1"/>
    <col min="7" max="16384" width="8.734375" style="3"/>
  </cols>
  <sheetData>
    <row r="1" spans="1:5">
      <c r="A1" s="3" t="s">
        <v>35</v>
      </c>
      <c r="B1" s="3" t="s">
        <v>36</v>
      </c>
      <c r="D1" s="3" t="s">
        <v>37</v>
      </c>
      <c r="E1" s="3">
        <v>3</v>
      </c>
    </row>
    <row r="2" spans="1:5">
      <c r="A2" s="4">
        <v>44927</v>
      </c>
      <c r="B2" s="3">
        <v>52.48</v>
      </c>
    </row>
    <row r="3" spans="1:5">
      <c r="A3" s="4">
        <v>44928</v>
      </c>
      <c r="B3" s="3">
        <v>49.34</v>
      </c>
      <c r="D3" s="3" t="e" cm="1" vm="1">
        <f t="array" ref="D3">_xlfn._xlws.PY(1,0,E1,daily_sales[#All])</f>
        <v>#VALUE!</v>
      </c>
    </row>
    <row r="4" spans="1:5">
      <c r="A4" s="4">
        <v>44929</v>
      </c>
      <c r="B4" s="3">
        <v>53.31</v>
      </c>
    </row>
    <row r="5" spans="1:5">
      <c r="A5" s="4">
        <v>44930</v>
      </c>
      <c r="B5" s="3">
        <v>57.72</v>
      </c>
    </row>
    <row r="6" spans="1:5">
      <c r="A6" s="4">
        <v>44931</v>
      </c>
      <c r="B6" s="3">
        <v>48.97</v>
      </c>
    </row>
    <row r="7" spans="1:5">
      <c r="A7" s="4">
        <v>44932</v>
      </c>
      <c r="B7" s="3">
        <v>49</v>
      </c>
    </row>
    <row r="8" spans="1:5">
      <c r="A8" s="4">
        <v>44933</v>
      </c>
      <c r="B8" s="3">
        <v>58.1</v>
      </c>
    </row>
    <row r="9" spans="1:5">
      <c r="A9" s="4">
        <v>44934</v>
      </c>
      <c r="B9" s="3">
        <v>54.08</v>
      </c>
    </row>
    <row r="10" spans="1:5">
      <c r="A10" s="4">
        <v>44935</v>
      </c>
      <c r="B10" s="3">
        <v>47.93</v>
      </c>
    </row>
    <row r="11" spans="1:5">
      <c r="A11" s="4">
        <v>44936</v>
      </c>
      <c r="B11" s="3">
        <v>53.02</v>
      </c>
    </row>
    <row r="12" spans="1:5">
      <c r="A12" s="4">
        <v>44937</v>
      </c>
      <c r="B12" s="3">
        <v>48.03</v>
      </c>
    </row>
    <row r="13" spans="1:5">
      <c r="A13" s="4">
        <v>44938</v>
      </c>
      <c r="B13" s="3">
        <v>48.05</v>
      </c>
    </row>
    <row r="14" spans="1:5">
      <c r="A14" s="4">
        <v>44939</v>
      </c>
      <c r="B14" s="3">
        <v>51.62</v>
      </c>
    </row>
    <row r="15" spans="1:5">
      <c r="A15" s="4">
        <v>44940</v>
      </c>
      <c r="B15" s="3">
        <v>40.880000000000003</v>
      </c>
    </row>
    <row r="16" spans="1:5">
      <c r="A16" s="4">
        <v>44941</v>
      </c>
      <c r="B16" s="3">
        <v>41.85</v>
      </c>
    </row>
    <row r="17" spans="1:2">
      <c r="A17" s="4">
        <v>44942</v>
      </c>
      <c r="B17" s="3">
        <v>47.7</v>
      </c>
    </row>
    <row r="18" spans="1:2">
      <c r="A18" s="4">
        <v>44943</v>
      </c>
      <c r="B18" s="3">
        <v>45.48</v>
      </c>
    </row>
    <row r="19" spans="1:2">
      <c r="A19" s="4">
        <v>44944</v>
      </c>
      <c r="B19" s="3">
        <v>52.15</v>
      </c>
    </row>
    <row r="20" spans="1:2">
      <c r="A20" s="4">
        <v>44945</v>
      </c>
      <c r="B20" s="3">
        <v>46.08</v>
      </c>
    </row>
    <row r="21" spans="1:2">
      <c r="A21" s="4">
        <v>44946</v>
      </c>
      <c r="B21" s="3">
        <v>43.59</v>
      </c>
    </row>
    <row r="22" spans="1:2">
      <c r="A22" s="4">
        <v>44947</v>
      </c>
      <c r="B22" s="3">
        <v>58.01</v>
      </c>
    </row>
    <row r="23" spans="1:2">
      <c r="A23" s="4">
        <v>44948</v>
      </c>
      <c r="B23" s="3">
        <v>49.59</v>
      </c>
    </row>
    <row r="24" spans="1:2">
      <c r="A24" s="4">
        <v>44949</v>
      </c>
      <c r="B24" s="3">
        <v>51.09</v>
      </c>
    </row>
    <row r="25" spans="1:2">
      <c r="A25" s="4">
        <v>44950</v>
      </c>
      <c r="B25" s="3">
        <v>43.66</v>
      </c>
    </row>
    <row r="26" spans="1:2">
      <c r="A26" s="4">
        <v>44951</v>
      </c>
      <c r="B26" s="3">
        <v>48.1</v>
      </c>
    </row>
    <row r="27" spans="1:2">
      <c r="A27" s="4">
        <v>44952</v>
      </c>
      <c r="B27" s="3">
        <v>51.41</v>
      </c>
    </row>
    <row r="28" spans="1:2">
      <c r="A28" s="4">
        <v>44953</v>
      </c>
      <c r="B28" s="3">
        <v>45.14</v>
      </c>
    </row>
    <row r="29" spans="1:2">
      <c r="A29" s="4">
        <v>44954</v>
      </c>
      <c r="B29" s="3">
        <v>52.8</v>
      </c>
    </row>
    <row r="30" spans="1:2">
      <c r="A30" s="4">
        <v>44955</v>
      </c>
      <c r="B30" s="3">
        <v>47.96</v>
      </c>
    </row>
    <row r="31" spans="1:2">
      <c r="A31" s="4">
        <v>44956</v>
      </c>
      <c r="B31" s="3">
        <v>49.53</v>
      </c>
    </row>
    <row r="32" spans="1:2">
      <c r="A32" s="4">
        <v>44957</v>
      </c>
      <c r="B32" s="3">
        <v>48.02</v>
      </c>
    </row>
    <row r="33" spans="1:2">
      <c r="A33" s="4">
        <v>44958</v>
      </c>
      <c r="B33" s="3">
        <v>60.32</v>
      </c>
    </row>
    <row r="34" spans="1:2">
      <c r="A34" s="4">
        <v>44959</v>
      </c>
      <c r="B34" s="3">
        <v>51.03</v>
      </c>
    </row>
    <row r="35" spans="1:2">
      <c r="A35" s="4">
        <v>44960</v>
      </c>
      <c r="B35" s="3">
        <v>45.84</v>
      </c>
    </row>
    <row r="36" spans="1:2">
      <c r="A36" s="4">
        <v>44961</v>
      </c>
      <c r="B36" s="3">
        <v>55.28</v>
      </c>
    </row>
    <row r="37" spans="1:2">
      <c r="A37" s="4">
        <v>44962</v>
      </c>
      <c r="B37" s="3">
        <v>45.09</v>
      </c>
    </row>
    <row r="38" spans="1:2">
      <c r="A38" s="4">
        <v>44963</v>
      </c>
      <c r="B38" s="3">
        <v>52.28</v>
      </c>
    </row>
    <row r="39" spans="1:2">
      <c r="A39" s="4">
        <v>44964</v>
      </c>
      <c r="B39" s="3">
        <v>41.47</v>
      </c>
    </row>
    <row r="40" spans="1:2">
      <c r="A40" s="4">
        <v>44965</v>
      </c>
      <c r="B40" s="3">
        <v>44.66</v>
      </c>
    </row>
    <row r="41" spans="1:2">
      <c r="A41" s="4">
        <v>44966</v>
      </c>
      <c r="B41" s="3">
        <v>52.32</v>
      </c>
    </row>
    <row r="42" spans="1:2">
      <c r="A42" s="4">
        <v>44967</v>
      </c>
      <c r="B42" s="3">
        <v>55.06</v>
      </c>
    </row>
    <row r="43" spans="1:2">
      <c r="A43" s="4">
        <v>44968</v>
      </c>
      <c r="B43" s="3">
        <v>52.26</v>
      </c>
    </row>
    <row r="44" spans="1:2">
      <c r="A44" s="4">
        <v>44969</v>
      </c>
      <c r="B44" s="3">
        <v>50.86</v>
      </c>
    </row>
    <row r="45" spans="1:2">
      <c r="A45" s="4">
        <v>44970</v>
      </c>
      <c r="B45" s="3">
        <v>49.97</v>
      </c>
    </row>
    <row r="46" spans="1:2">
      <c r="A46" s="4">
        <v>44971</v>
      </c>
      <c r="B46" s="3">
        <v>44.11</v>
      </c>
    </row>
    <row r="47" spans="1:2">
      <c r="A47" s="4">
        <v>44972</v>
      </c>
      <c r="B47" s="3">
        <v>47.94</v>
      </c>
    </row>
    <row r="48" spans="1:2">
      <c r="A48" s="4">
        <v>44973</v>
      </c>
      <c r="B48" s="3">
        <v>49.27</v>
      </c>
    </row>
    <row r="49" spans="1:2">
      <c r="A49" s="4">
        <v>44974</v>
      </c>
      <c r="B49" s="3">
        <v>56.9</v>
      </c>
    </row>
    <row r="50" spans="1:2">
      <c r="A50" s="4">
        <v>44975</v>
      </c>
      <c r="B50" s="3">
        <v>53.36</v>
      </c>
    </row>
    <row r="51" spans="1:2">
      <c r="A51" s="4">
        <v>44976</v>
      </c>
      <c r="B51" s="3">
        <v>42.86</v>
      </c>
    </row>
    <row r="52" spans="1:2">
      <c r="A52" s="4">
        <v>44977</v>
      </c>
      <c r="B52" s="3">
        <v>53.33</v>
      </c>
    </row>
    <row r="53" spans="1:2">
      <c r="A53" s="4">
        <v>44978</v>
      </c>
      <c r="B53" s="3">
        <v>49.82</v>
      </c>
    </row>
    <row r="54" spans="1:2">
      <c r="A54" s="4">
        <v>44979</v>
      </c>
      <c r="B54" s="3">
        <v>48.4</v>
      </c>
    </row>
    <row r="55" spans="1:2">
      <c r="A55" s="4">
        <v>44980</v>
      </c>
      <c r="B55" s="3">
        <v>54.87</v>
      </c>
    </row>
    <row r="56" spans="1:2">
      <c r="A56" s="4">
        <v>44981</v>
      </c>
      <c r="B56" s="3">
        <v>57</v>
      </c>
    </row>
    <row r="57" spans="1:2">
      <c r="A57" s="4">
        <v>44982</v>
      </c>
      <c r="B57" s="3">
        <v>56.54</v>
      </c>
    </row>
    <row r="58" spans="1:2">
      <c r="A58" s="4">
        <v>44983</v>
      </c>
      <c r="B58" s="3">
        <v>47.72</v>
      </c>
    </row>
    <row r="59" spans="1:2">
      <c r="A59" s="4">
        <v>44984</v>
      </c>
      <c r="B59" s="3">
        <v>50.41</v>
      </c>
    </row>
    <row r="60" spans="1:2">
      <c r="A60" s="4">
        <v>44985</v>
      </c>
      <c r="B60" s="3">
        <v>53.64</v>
      </c>
    </row>
    <row r="61" spans="1:2">
      <c r="A61" s="4">
        <v>44986</v>
      </c>
      <c r="B61" s="3">
        <v>56.9</v>
      </c>
    </row>
    <row r="62" spans="1:2">
      <c r="A62" s="4">
        <v>44987</v>
      </c>
      <c r="B62" s="3">
        <v>49.66</v>
      </c>
    </row>
    <row r="63" spans="1:2">
      <c r="A63" s="4">
        <v>44988</v>
      </c>
      <c r="B63" s="3">
        <v>51.16</v>
      </c>
    </row>
    <row r="64" spans="1:2">
      <c r="A64" s="4">
        <v>44989</v>
      </c>
      <c r="B64" s="3">
        <v>46.59</v>
      </c>
    </row>
    <row r="65" spans="1:2">
      <c r="A65" s="4">
        <v>44990</v>
      </c>
      <c r="B65" s="3">
        <v>46.18</v>
      </c>
    </row>
    <row r="66" spans="1:2">
      <c r="A66" s="4">
        <v>44991</v>
      </c>
      <c r="B66" s="3">
        <v>56.25</v>
      </c>
    </row>
    <row r="67" spans="1:2">
      <c r="A67" s="4">
        <v>44992</v>
      </c>
      <c r="B67" s="3">
        <v>59.01</v>
      </c>
    </row>
    <row r="68" spans="1:2">
      <c r="A68" s="4">
        <v>44993</v>
      </c>
      <c r="B68" s="3">
        <v>51.9</v>
      </c>
    </row>
    <row r="69" spans="1:2">
      <c r="A69" s="4">
        <v>44994</v>
      </c>
      <c r="B69" s="3">
        <v>57.31</v>
      </c>
    </row>
    <row r="70" spans="1:2">
      <c r="A70" s="4">
        <v>44995</v>
      </c>
      <c r="B70" s="3">
        <v>54.14</v>
      </c>
    </row>
    <row r="71" spans="1:2">
      <c r="A71" s="4">
        <v>44996</v>
      </c>
      <c r="B71" s="3">
        <v>49.14</v>
      </c>
    </row>
    <row r="72" spans="1:2">
      <c r="A72" s="4">
        <v>44997</v>
      </c>
      <c r="B72" s="3">
        <v>54.2</v>
      </c>
    </row>
    <row r="73" spans="1:2">
      <c r="A73" s="4">
        <v>44998</v>
      </c>
      <c r="B73" s="3">
        <v>60.12</v>
      </c>
    </row>
    <row r="74" spans="1:2">
      <c r="A74" s="4">
        <v>44999</v>
      </c>
      <c r="B74" s="3">
        <v>52.29</v>
      </c>
    </row>
    <row r="75" spans="1:2">
      <c r="A75" s="4">
        <v>45000</v>
      </c>
      <c r="B75" s="3">
        <v>60.32</v>
      </c>
    </row>
    <row r="76" spans="1:2">
      <c r="A76" s="4">
        <v>45001</v>
      </c>
      <c r="B76" s="3">
        <v>39.44</v>
      </c>
    </row>
    <row r="77" spans="1:2">
      <c r="A77" s="4">
        <v>45002</v>
      </c>
      <c r="B77" s="3">
        <v>56.68</v>
      </c>
    </row>
    <row r="78" spans="1:2">
      <c r="A78" s="4">
        <v>45003</v>
      </c>
      <c r="B78" s="3">
        <v>53.04</v>
      </c>
    </row>
    <row r="79" spans="1:2">
      <c r="A79" s="4">
        <v>45004</v>
      </c>
      <c r="B79" s="3">
        <v>51.14</v>
      </c>
    </row>
    <row r="80" spans="1:2">
      <c r="A80" s="4">
        <v>45005</v>
      </c>
      <c r="B80" s="3">
        <v>53.13</v>
      </c>
    </row>
    <row r="81" spans="1:2">
      <c r="A81" s="4">
        <v>45006</v>
      </c>
      <c r="B81" s="3">
        <v>42.77</v>
      </c>
    </row>
    <row r="82" spans="1:2">
      <c r="A82" s="4">
        <v>45007</v>
      </c>
      <c r="B82" s="3">
        <v>51.64</v>
      </c>
    </row>
    <row r="83" spans="1:2">
      <c r="A83" s="4">
        <v>45008</v>
      </c>
      <c r="B83" s="3">
        <v>54.56</v>
      </c>
    </row>
    <row r="84" spans="1:2">
      <c r="A84" s="4">
        <v>45009</v>
      </c>
      <c r="B84" s="3">
        <v>60.2</v>
      </c>
    </row>
    <row r="85" spans="1:2">
      <c r="A85" s="4">
        <v>45010</v>
      </c>
      <c r="B85" s="3">
        <v>50.25</v>
      </c>
    </row>
    <row r="86" spans="1:2">
      <c r="A86" s="4">
        <v>45011</v>
      </c>
      <c r="B86" s="3">
        <v>48.83</v>
      </c>
    </row>
    <row r="87" spans="1:2">
      <c r="A87" s="4">
        <v>45012</v>
      </c>
      <c r="B87" s="3">
        <v>50.4</v>
      </c>
    </row>
    <row r="88" spans="1:2">
      <c r="A88" s="4">
        <v>45013</v>
      </c>
      <c r="B88" s="3">
        <v>57.52</v>
      </c>
    </row>
    <row r="89" spans="1:2">
      <c r="A89" s="4">
        <v>45014</v>
      </c>
      <c r="B89" s="3">
        <v>54.62</v>
      </c>
    </row>
    <row r="90" spans="1:2">
      <c r="A90" s="4">
        <v>45015</v>
      </c>
      <c r="B90" s="3">
        <v>50.36</v>
      </c>
    </row>
    <row r="91" spans="1:2">
      <c r="A91" s="4">
        <v>45016</v>
      </c>
      <c r="B91" s="3">
        <v>55.61</v>
      </c>
    </row>
    <row r="92" spans="1:2">
      <c r="A92" s="4">
        <v>45017</v>
      </c>
      <c r="B92" s="3">
        <v>53.57</v>
      </c>
    </row>
    <row r="93" spans="1:2">
      <c r="A93" s="4">
        <v>45018</v>
      </c>
      <c r="B93" s="3">
        <v>57.96</v>
      </c>
    </row>
    <row r="94" spans="1:2">
      <c r="A94" s="4">
        <v>45019</v>
      </c>
      <c r="B94" s="3">
        <v>49.64</v>
      </c>
    </row>
    <row r="95" spans="1:2">
      <c r="A95" s="4">
        <v>45020</v>
      </c>
      <c r="B95" s="3">
        <v>51.55</v>
      </c>
    </row>
    <row r="96" spans="1:2">
      <c r="A96" s="4">
        <v>45021</v>
      </c>
      <c r="B96" s="3">
        <v>51.26</v>
      </c>
    </row>
    <row r="97" spans="1:2">
      <c r="A97" s="4">
        <v>45022</v>
      </c>
      <c r="B97" s="3">
        <v>45.94</v>
      </c>
    </row>
    <row r="98" spans="1:2">
      <c r="A98" s="4">
        <v>45023</v>
      </c>
      <c r="B98" s="3">
        <v>54.77</v>
      </c>
    </row>
    <row r="99" spans="1:2">
      <c r="A99" s="4">
        <v>45024</v>
      </c>
      <c r="B99" s="3">
        <v>54.63</v>
      </c>
    </row>
    <row r="100" spans="1:2">
      <c r="A100" s="4">
        <v>45025</v>
      </c>
      <c r="B100" s="3">
        <v>53.38</v>
      </c>
    </row>
    <row r="101" spans="1:2">
      <c r="A101" s="4">
        <v>45026</v>
      </c>
      <c r="B101" s="3">
        <v>52.22</v>
      </c>
    </row>
    <row r="102" spans="1:2">
      <c r="A102" s="4">
        <v>45027</v>
      </c>
      <c r="B102" s="3">
        <v>46.35</v>
      </c>
    </row>
    <row r="103" spans="1:2">
      <c r="A103" s="4">
        <v>45028</v>
      </c>
      <c r="B103" s="3">
        <v>51.36</v>
      </c>
    </row>
    <row r="104" spans="1:2">
      <c r="A104" s="4">
        <v>45029</v>
      </c>
      <c r="B104" s="3">
        <v>51.78</v>
      </c>
    </row>
    <row r="105" spans="1:2">
      <c r="A105" s="4">
        <v>45030</v>
      </c>
      <c r="B105" s="3">
        <v>49.52</v>
      </c>
    </row>
    <row r="106" spans="1:2">
      <c r="A106" s="4">
        <v>45031</v>
      </c>
      <c r="B106" s="3">
        <v>52.76</v>
      </c>
    </row>
    <row r="107" spans="1:2">
      <c r="A107" s="4">
        <v>45032</v>
      </c>
      <c r="B107" s="3">
        <v>55.62</v>
      </c>
    </row>
    <row r="108" spans="1:2">
      <c r="A108" s="4">
        <v>45033</v>
      </c>
      <c r="B108" s="3">
        <v>63.06</v>
      </c>
    </row>
    <row r="109" spans="1:2">
      <c r="A109" s="4">
        <v>45034</v>
      </c>
      <c r="B109" s="3">
        <v>54.54</v>
      </c>
    </row>
    <row r="110" spans="1:2">
      <c r="A110" s="4">
        <v>45035</v>
      </c>
      <c r="B110" s="3">
        <v>54.99</v>
      </c>
    </row>
    <row r="111" spans="1:2">
      <c r="A111" s="4">
        <v>45036</v>
      </c>
      <c r="B111" s="3">
        <v>53.36</v>
      </c>
    </row>
    <row r="112" spans="1:2">
      <c r="A112" s="4">
        <v>45037</v>
      </c>
      <c r="B112" s="3">
        <v>44.17</v>
      </c>
    </row>
    <row r="113" spans="1:2">
      <c r="A113" s="4">
        <v>45038</v>
      </c>
      <c r="B113" s="3">
        <v>53.67</v>
      </c>
    </row>
    <row r="114" spans="1:2">
      <c r="A114" s="4">
        <v>45039</v>
      </c>
      <c r="B114" s="3">
        <v>54.14</v>
      </c>
    </row>
    <row r="115" spans="1:2">
      <c r="A115" s="4">
        <v>45040</v>
      </c>
      <c r="B115" s="3">
        <v>66.19</v>
      </c>
    </row>
    <row r="116" spans="1:2">
      <c r="A116" s="4">
        <v>45041</v>
      </c>
      <c r="B116" s="3">
        <v>52.94</v>
      </c>
    </row>
    <row r="117" spans="1:2">
      <c r="A117" s="4">
        <v>45042</v>
      </c>
      <c r="B117" s="3">
        <v>55.45</v>
      </c>
    </row>
    <row r="118" spans="1:2">
      <c r="A118" s="4">
        <v>45043</v>
      </c>
      <c r="B118" s="3">
        <v>53.8</v>
      </c>
    </row>
    <row r="119" spans="1:2">
      <c r="A119" s="4">
        <v>45044</v>
      </c>
      <c r="B119" s="3">
        <v>48.16</v>
      </c>
    </row>
    <row r="120" spans="1:2">
      <c r="A120" s="4">
        <v>45045</v>
      </c>
      <c r="B120" s="3">
        <v>59.76</v>
      </c>
    </row>
    <row r="121" spans="1:2">
      <c r="A121" s="4">
        <v>45046</v>
      </c>
      <c r="B121" s="3">
        <v>57.84</v>
      </c>
    </row>
    <row r="122" spans="1:2">
      <c r="A122" s="4">
        <v>45047</v>
      </c>
      <c r="B122" s="3">
        <v>58.06</v>
      </c>
    </row>
    <row r="123" spans="1:2">
      <c r="A123" s="4">
        <v>45048</v>
      </c>
      <c r="B123" s="3">
        <v>49.6</v>
      </c>
    </row>
    <row r="124" spans="1:2">
      <c r="A124" s="4">
        <v>45049</v>
      </c>
      <c r="B124" s="3">
        <v>61.19</v>
      </c>
    </row>
    <row r="125" spans="1:2">
      <c r="A125" s="4">
        <v>45050</v>
      </c>
      <c r="B125" s="3">
        <v>47.2</v>
      </c>
    </row>
    <row r="126" spans="1:2">
      <c r="A126" s="4">
        <v>45051</v>
      </c>
      <c r="B126" s="3">
        <v>57.18</v>
      </c>
    </row>
    <row r="127" spans="1:2">
      <c r="A127" s="4">
        <v>45052</v>
      </c>
      <c r="B127" s="3">
        <v>65.23</v>
      </c>
    </row>
    <row r="128" spans="1:2">
      <c r="A128" s="4">
        <v>45053</v>
      </c>
      <c r="B128" s="3">
        <v>49.36</v>
      </c>
    </row>
    <row r="129" spans="1:2">
      <c r="A129" s="4">
        <v>45054</v>
      </c>
      <c r="B129" s="3">
        <v>51.52</v>
      </c>
    </row>
    <row r="130" spans="1:2">
      <c r="A130" s="4">
        <v>45055</v>
      </c>
      <c r="B130" s="3">
        <v>54.88</v>
      </c>
    </row>
    <row r="131" spans="1:2">
      <c r="A131" s="4">
        <v>45056</v>
      </c>
      <c r="B131" s="3">
        <v>51.9</v>
      </c>
    </row>
    <row r="132" spans="1:2">
      <c r="A132" s="4">
        <v>45057</v>
      </c>
      <c r="B132" s="3">
        <v>46.7</v>
      </c>
    </row>
    <row r="133" spans="1:2">
      <c r="A133" s="4">
        <v>45058</v>
      </c>
      <c r="B133" s="3">
        <v>54.83</v>
      </c>
    </row>
    <row r="134" spans="1:2">
      <c r="A134" s="4">
        <v>45059</v>
      </c>
      <c r="B134" s="3">
        <v>49.21</v>
      </c>
    </row>
    <row r="135" spans="1:2">
      <c r="A135" s="4">
        <v>45060</v>
      </c>
      <c r="B135" s="3">
        <v>56.92</v>
      </c>
    </row>
    <row r="136" spans="1:2">
      <c r="A136" s="4">
        <v>45061</v>
      </c>
      <c r="B136" s="3">
        <v>49.99</v>
      </c>
    </row>
    <row r="137" spans="1:2">
      <c r="A137" s="4">
        <v>45062</v>
      </c>
      <c r="B137" s="3">
        <v>62.37</v>
      </c>
    </row>
    <row r="138" spans="1:2">
      <c r="A138" s="4">
        <v>45063</v>
      </c>
      <c r="B138" s="3">
        <v>50.74</v>
      </c>
    </row>
    <row r="139" spans="1:2">
      <c r="A139" s="4">
        <v>45064</v>
      </c>
      <c r="B139" s="3">
        <v>53.08</v>
      </c>
    </row>
    <row r="140" spans="1:2">
      <c r="A140" s="4">
        <v>45065</v>
      </c>
      <c r="B140" s="3">
        <v>58.79</v>
      </c>
    </row>
    <row r="141" spans="1:2">
      <c r="A141" s="4">
        <v>45066</v>
      </c>
      <c r="B141" s="3">
        <v>48.61</v>
      </c>
    </row>
    <row r="142" spans="1:2">
      <c r="A142" s="4">
        <v>45067</v>
      </c>
      <c r="B142" s="3">
        <v>55.93</v>
      </c>
    </row>
    <row r="143" spans="1:2">
      <c r="A143" s="4">
        <v>45068</v>
      </c>
      <c r="B143" s="3">
        <v>61.36</v>
      </c>
    </row>
    <row r="144" spans="1:2">
      <c r="A144" s="4">
        <v>45069</v>
      </c>
      <c r="B144" s="3">
        <v>46.83</v>
      </c>
    </row>
    <row r="145" spans="1:2">
      <c r="A145" s="4">
        <v>45070</v>
      </c>
      <c r="B145" s="3">
        <v>55.82</v>
      </c>
    </row>
    <row r="146" spans="1:2">
      <c r="A146" s="4">
        <v>45071</v>
      </c>
      <c r="B146" s="3">
        <v>56.23</v>
      </c>
    </row>
    <row r="147" spans="1:2">
      <c r="A147" s="4">
        <v>45072</v>
      </c>
      <c r="B147" s="3">
        <v>58.87</v>
      </c>
    </row>
    <row r="148" spans="1:2">
      <c r="A148" s="4">
        <v>45073</v>
      </c>
      <c r="B148" s="3">
        <v>48.82</v>
      </c>
    </row>
    <row r="149" spans="1:2">
      <c r="A149" s="4">
        <v>45074</v>
      </c>
      <c r="B149" s="3">
        <v>48.43</v>
      </c>
    </row>
    <row r="150" spans="1:2">
      <c r="A150" s="4">
        <v>45075</v>
      </c>
      <c r="B150" s="3">
        <v>57.68</v>
      </c>
    </row>
    <row r="151" spans="1:2">
      <c r="A151" s="4">
        <v>45076</v>
      </c>
      <c r="B151" s="3">
        <v>56.59</v>
      </c>
    </row>
    <row r="152" spans="1:2">
      <c r="A152" s="4">
        <v>45077</v>
      </c>
      <c r="B152" s="3">
        <v>56.39</v>
      </c>
    </row>
    <row r="153" spans="1:2">
      <c r="A153" s="4">
        <v>45078</v>
      </c>
      <c r="B153" s="3">
        <v>56.9</v>
      </c>
    </row>
    <row r="154" spans="1:2">
      <c r="A154" s="4">
        <v>45079</v>
      </c>
      <c r="B154" s="3">
        <v>51.81</v>
      </c>
    </row>
    <row r="155" spans="1:2">
      <c r="A155" s="4">
        <v>45080</v>
      </c>
      <c r="B155" s="3">
        <v>56.4</v>
      </c>
    </row>
    <row r="156" spans="1:2">
      <c r="A156" s="4">
        <v>45081</v>
      </c>
      <c r="B156" s="3">
        <v>56.74</v>
      </c>
    </row>
    <row r="157" spans="1:2">
      <c r="A157" s="4">
        <v>45082</v>
      </c>
      <c r="B157" s="3">
        <v>51.74</v>
      </c>
    </row>
    <row r="158" spans="1:2">
      <c r="A158" s="4">
        <v>45083</v>
      </c>
      <c r="B158" s="3">
        <v>64.67</v>
      </c>
    </row>
    <row r="159" spans="1:2">
      <c r="A159" s="4">
        <v>45084</v>
      </c>
      <c r="B159" s="3">
        <v>57.75</v>
      </c>
    </row>
    <row r="160" spans="1:2">
      <c r="A160" s="4">
        <v>45085</v>
      </c>
      <c r="B160" s="3">
        <v>49.45</v>
      </c>
    </row>
    <row r="161" spans="1:2">
      <c r="A161" s="4">
        <v>45086</v>
      </c>
      <c r="B161" s="3">
        <v>58.73</v>
      </c>
    </row>
    <row r="162" spans="1:2">
      <c r="A162" s="4">
        <v>45087</v>
      </c>
      <c r="B162" s="3">
        <v>50.61</v>
      </c>
    </row>
    <row r="163" spans="1:2">
      <c r="A163" s="4">
        <v>45088</v>
      </c>
      <c r="B163" s="3">
        <v>59.45</v>
      </c>
    </row>
    <row r="164" spans="1:2">
      <c r="A164" s="4">
        <v>45089</v>
      </c>
      <c r="B164" s="3">
        <v>61.34</v>
      </c>
    </row>
    <row r="165" spans="1:2">
      <c r="A165" s="4">
        <v>45090</v>
      </c>
      <c r="B165" s="3">
        <v>51.48</v>
      </c>
    </row>
    <row r="166" spans="1:2">
      <c r="A166" s="4">
        <v>45091</v>
      </c>
      <c r="B166" s="3">
        <v>60.43</v>
      </c>
    </row>
    <row r="167" spans="1:2">
      <c r="A167" s="4">
        <v>45092</v>
      </c>
      <c r="B167" s="3">
        <v>57.71</v>
      </c>
    </row>
    <row r="168" spans="1:2">
      <c r="A168" s="4">
        <v>45093</v>
      </c>
      <c r="B168" s="3">
        <v>59.8</v>
      </c>
    </row>
    <row r="169" spans="1:2">
      <c r="A169" s="4">
        <v>45094</v>
      </c>
      <c r="B169" s="3">
        <v>65.2</v>
      </c>
    </row>
    <row r="170" spans="1:2">
      <c r="A170" s="4">
        <v>45095</v>
      </c>
      <c r="B170" s="3">
        <v>54.53</v>
      </c>
    </row>
    <row r="171" spans="1:2">
      <c r="A171" s="4">
        <v>45096</v>
      </c>
      <c r="B171" s="3">
        <v>52.02</v>
      </c>
    </row>
    <row r="172" spans="1:2">
      <c r="A172" s="4">
        <v>45097</v>
      </c>
      <c r="B172" s="3">
        <v>51.37</v>
      </c>
    </row>
    <row r="173" spans="1:2">
      <c r="A173" s="4">
        <v>45098</v>
      </c>
      <c r="B173" s="3">
        <v>51.78</v>
      </c>
    </row>
    <row r="174" spans="1:2">
      <c r="A174" s="4">
        <v>45099</v>
      </c>
      <c r="B174" s="3">
        <v>55.5</v>
      </c>
    </row>
    <row r="175" spans="1:2">
      <c r="A175" s="4">
        <v>45100</v>
      </c>
      <c r="B175" s="3">
        <v>57.63</v>
      </c>
    </row>
    <row r="176" spans="1:2">
      <c r="A176" s="4">
        <v>45101</v>
      </c>
      <c r="B176" s="3">
        <v>57.34</v>
      </c>
    </row>
    <row r="177" spans="1:2">
      <c r="A177" s="4">
        <v>45102</v>
      </c>
      <c r="B177" s="3">
        <v>60.13</v>
      </c>
    </row>
    <row r="178" spans="1:2">
      <c r="A178" s="4">
        <v>45103</v>
      </c>
      <c r="B178" s="3">
        <v>56.09</v>
      </c>
    </row>
    <row r="179" spans="1:2">
      <c r="A179" s="4">
        <v>45104</v>
      </c>
      <c r="B179" s="3">
        <v>63.33</v>
      </c>
    </row>
    <row r="180" spans="1:2">
      <c r="A180" s="4">
        <v>45105</v>
      </c>
      <c r="B180" s="3">
        <v>54.77</v>
      </c>
    </row>
    <row r="181" spans="1:2">
      <c r="A181" s="4">
        <v>45106</v>
      </c>
      <c r="B181" s="3">
        <v>69.73</v>
      </c>
    </row>
    <row r="182" spans="1:2">
      <c r="A182" s="4">
        <v>45107</v>
      </c>
      <c r="B182" s="3">
        <v>59.29</v>
      </c>
    </row>
    <row r="183" spans="1:2">
      <c r="A183" s="4">
        <v>45108</v>
      </c>
      <c r="B183" s="3">
        <v>51.91</v>
      </c>
    </row>
    <row r="184" spans="1:2">
      <c r="A184" s="4">
        <v>45109</v>
      </c>
      <c r="B184" s="3">
        <v>50.88</v>
      </c>
    </row>
    <row r="185" spans="1:2">
      <c r="A185" s="4">
        <v>45110</v>
      </c>
      <c r="B185" s="3">
        <v>58.68</v>
      </c>
    </row>
    <row r="186" spans="1:2">
      <c r="A186" s="4">
        <v>45111</v>
      </c>
      <c r="B186" s="3">
        <v>55.18</v>
      </c>
    </row>
    <row r="187" spans="1:2">
      <c r="A187" s="4">
        <v>45112</v>
      </c>
      <c r="B187" s="3">
        <v>59.91</v>
      </c>
    </row>
    <row r="188" spans="1:2">
      <c r="A188" s="4">
        <v>45113</v>
      </c>
      <c r="B188" s="3">
        <v>58.74</v>
      </c>
    </row>
    <row r="189" spans="1:2">
      <c r="A189" s="4">
        <v>45114</v>
      </c>
      <c r="B189" s="3">
        <v>56.04</v>
      </c>
    </row>
    <row r="190" spans="1:2">
      <c r="A190" s="4">
        <v>45115</v>
      </c>
      <c r="B190" s="3">
        <v>52.2</v>
      </c>
    </row>
    <row r="191" spans="1:2">
      <c r="A191" s="4">
        <v>45116</v>
      </c>
      <c r="B191" s="3">
        <v>48.9</v>
      </c>
    </row>
    <row r="192" spans="1:2">
      <c r="A192" s="4">
        <v>45117</v>
      </c>
      <c r="B192" s="3">
        <v>54.27</v>
      </c>
    </row>
    <row r="193" spans="1:2">
      <c r="A193" s="4">
        <v>45118</v>
      </c>
      <c r="B193" s="3">
        <v>60.82</v>
      </c>
    </row>
    <row r="194" spans="1:2">
      <c r="A194" s="4">
        <v>45119</v>
      </c>
      <c r="B194" s="3">
        <v>57.65</v>
      </c>
    </row>
    <row r="195" spans="1:2">
      <c r="A195" s="4">
        <v>45120</v>
      </c>
      <c r="B195" s="3">
        <v>50.38</v>
      </c>
    </row>
    <row r="196" spans="1:2">
      <c r="A196" s="4">
        <v>45121</v>
      </c>
      <c r="B196" s="3">
        <v>57.51</v>
      </c>
    </row>
    <row r="197" spans="1:2">
      <c r="A197" s="4">
        <v>45122</v>
      </c>
      <c r="B197" s="3">
        <v>58.6</v>
      </c>
    </row>
    <row r="198" spans="1:2">
      <c r="A198" s="4">
        <v>45123</v>
      </c>
      <c r="B198" s="3">
        <v>52.29</v>
      </c>
    </row>
    <row r="199" spans="1:2">
      <c r="A199" s="4">
        <v>45124</v>
      </c>
      <c r="B199" s="3">
        <v>57.52</v>
      </c>
    </row>
    <row r="200" spans="1:2">
      <c r="A200" s="4">
        <v>45125</v>
      </c>
      <c r="B200" s="3">
        <v>57.07</v>
      </c>
    </row>
    <row r="201" spans="1:2">
      <c r="A201" s="4">
        <v>45126</v>
      </c>
      <c r="B201" s="3">
        <v>51.1</v>
      </c>
    </row>
    <row r="202" spans="1:2">
      <c r="A202" s="4">
        <v>45127</v>
      </c>
      <c r="B202" s="3">
        <v>58.64</v>
      </c>
    </row>
    <row r="203" spans="1:2">
      <c r="A203" s="4">
        <v>45128</v>
      </c>
      <c r="B203" s="3">
        <v>59.69</v>
      </c>
    </row>
    <row r="204" spans="1:2">
      <c r="A204" s="4">
        <v>45129</v>
      </c>
      <c r="B204" s="3">
        <v>62.33</v>
      </c>
    </row>
    <row r="205" spans="1:2">
      <c r="A205" s="4">
        <v>45130</v>
      </c>
      <c r="B205" s="3">
        <v>62.22</v>
      </c>
    </row>
    <row r="206" spans="1:2">
      <c r="A206" s="4">
        <v>45131</v>
      </c>
      <c r="B206" s="3">
        <v>50.1</v>
      </c>
    </row>
    <row r="207" spans="1:2">
      <c r="A207" s="4">
        <v>45132</v>
      </c>
      <c r="B207" s="3">
        <v>52.33</v>
      </c>
    </row>
    <row r="208" spans="1:2">
      <c r="A208" s="4">
        <v>45133</v>
      </c>
      <c r="B208" s="3">
        <v>59.63</v>
      </c>
    </row>
    <row r="209" spans="1:2">
      <c r="A209" s="4">
        <v>45134</v>
      </c>
      <c r="B209" s="3">
        <v>59.66</v>
      </c>
    </row>
    <row r="210" spans="1:2">
      <c r="A210" s="4">
        <v>45135</v>
      </c>
      <c r="B210" s="3">
        <v>59.7</v>
      </c>
    </row>
    <row r="211" spans="1:2">
      <c r="A211" s="4">
        <v>45136</v>
      </c>
      <c r="B211" s="3">
        <v>76.42</v>
      </c>
    </row>
    <row r="212" spans="1:2">
      <c r="A212" s="4">
        <v>45137</v>
      </c>
      <c r="B212" s="3">
        <v>60.05</v>
      </c>
    </row>
    <row r="213" spans="1:2">
      <c r="A213" s="4">
        <v>45138</v>
      </c>
      <c r="B213" s="3">
        <v>62.9</v>
      </c>
    </row>
    <row r="214" spans="1:2">
      <c r="A214" s="4">
        <v>45139</v>
      </c>
      <c r="B214" s="3">
        <v>62.03</v>
      </c>
    </row>
    <row r="215" spans="1:2">
      <c r="A215" s="4">
        <v>45140</v>
      </c>
      <c r="B215" s="3">
        <v>60.55</v>
      </c>
    </row>
    <row r="216" spans="1:2">
      <c r="A216" s="4">
        <v>45141</v>
      </c>
      <c r="B216" s="3">
        <v>55.75</v>
      </c>
    </row>
    <row r="217" spans="1:2">
      <c r="A217" s="4">
        <v>45142</v>
      </c>
      <c r="B217" s="3">
        <v>61.16</v>
      </c>
    </row>
    <row r="218" spans="1:2">
      <c r="A218" s="4">
        <v>45143</v>
      </c>
      <c r="B218" s="3">
        <v>53.53</v>
      </c>
    </row>
    <row r="219" spans="1:2">
      <c r="A219" s="4">
        <v>45144</v>
      </c>
      <c r="B219" s="3">
        <v>56.25</v>
      </c>
    </row>
    <row r="220" spans="1:2">
      <c r="A220" s="4">
        <v>45145</v>
      </c>
      <c r="B220" s="3">
        <v>55.04</v>
      </c>
    </row>
    <row r="221" spans="1:2">
      <c r="A221" s="4">
        <v>45146</v>
      </c>
      <c r="B221" s="3">
        <v>57.91</v>
      </c>
    </row>
    <row r="222" spans="1:2">
      <c r="A222" s="4">
        <v>45147</v>
      </c>
      <c r="B222" s="3">
        <v>69.11</v>
      </c>
    </row>
    <row r="223" spans="1:2">
      <c r="A223" s="4">
        <v>45148</v>
      </c>
      <c r="B223" s="3">
        <v>48.23</v>
      </c>
    </row>
    <row r="224" spans="1:2">
      <c r="A224" s="4">
        <v>45149</v>
      </c>
      <c r="B224" s="3">
        <v>61.03</v>
      </c>
    </row>
    <row r="225" spans="1:2">
      <c r="A225" s="4">
        <v>45150</v>
      </c>
      <c r="B225" s="3">
        <v>49.57</v>
      </c>
    </row>
    <row r="226" spans="1:2">
      <c r="A226" s="4">
        <v>45151</v>
      </c>
      <c r="B226" s="3">
        <v>55.31</v>
      </c>
    </row>
    <row r="227" spans="1:2">
      <c r="A227" s="4">
        <v>45152</v>
      </c>
      <c r="B227" s="3">
        <v>63.15</v>
      </c>
    </row>
    <row r="228" spans="1:2">
      <c r="A228" s="4">
        <v>45153</v>
      </c>
      <c r="B228" s="3">
        <v>58.06</v>
      </c>
    </row>
    <row r="229" spans="1:2">
      <c r="A229" s="4">
        <v>45154</v>
      </c>
      <c r="B229" s="3">
        <v>52.39</v>
      </c>
    </row>
    <row r="230" spans="1:2">
      <c r="A230" s="4">
        <v>45155</v>
      </c>
      <c r="B230" s="3">
        <v>54.23</v>
      </c>
    </row>
    <row r="231" spans="1:2">
      <c r="A231" s="4">
        <v>45156</v>
      </c>
      <c r="B231" s="3">
        <v>61.24</v>
      </c>
    </row>
    <row r="232" spans="1:2">
      <c r="A232" s="4">
        <v>45157</v>
      </c>
      <c r="B232" s="3">
        <v>54.22</v>
      </c>
    </row>
    <row r="233" spans="1:2">
      <c r="A233" s="4">
        <v>45158</v>
      </c>
      <c r="B233" s="3">
        <v>58.99</v>
      </c>
    </row>
    <row r="234" spans="1:2">
      <c r="A234" s="4">
        <v>45159</v>
      </c>
      <c r="B234" s="3">
        <v>58.17</v>
      </c>
    </row>
    <row r="235" spans="1:2">
      <c r="A235" s="4">
        <v>45160</v>
      </c>
      <c r="B235" s="3">
        <v>54.72</v>
      </c>
    </row>
    <row r="236" spans="1:2">
      <c r="A236" s="4">
        <v>45161</v>
      </c>
      <c r="B236" s="3">
        <v>68.73</v>
      </c>
    </row>
    <row r="237" spans="1:2">
      <c r="A237" s="4">
        <v>45162</v>
      </c>
      <c r="B237" s="3">
        <v>61.22</v>
      </c>
    </row>
    <row r="238" spans="1:2">
      <c r="A238" s="4">
        <v>45163</v>
      </c>
      <c r="B238" s="3">
        <v>47.96</v>
      </c>
    </row>
    <row r="239" spans="1:2">
      <c r="A239" s="4">
        <v>45164</v>
      </c>
      <c r="B239" s="3">
        <v>59.05</v>
      </c>
    </row>
    <row r="240" spans="1:2">
      <c r="A240" s="4">
        <v>45165</v>
      </c>
      <c r="B240" s="3">
        <v>54.84</v>
      </c>
    </row>
    <row r="241" spans="1:2">
      <c r="A241" s="4">
        <v>45166</v>
      </c>
      <c r="B241" s="3">
        <v>62.45</v>
      </c>
    </row>
    <row r="242" spans="1:2">
      <c r="A242" s="4">
        <v>45167</v>
      </c>
      <c r="B242" s="3">
        <v>54.26</v>
      </c>
    </row>
    <row r="243" spans="1:2">
      <c r="A243" s="4">
        <v>45168</v>
      </c>
      <c r="B243" s="3">
        <v>57.68</v>
      </c>
    </row>
    <row r="244" spans="1:2">
      <c r="A244" s="4">
        <v>45169</v>
      </c>
      <c r="B244" s="3">
        <v>60.81</v>
      </c>
    </row>
    <row r="245" spans="1:2">
      <c r="A245" s="4">
        <v>45170</v>
      </c>
      <c r="B245" s="3">
        <v>62.65</v>
      </c>
    </row>
    <row r="246" spans="1:2">
      <c r="A246" s="4">
        <v>45171</v>
      </c>
      <c r="B246" s="3">
        <v>52.35</v>
      </c>
    </row>
    <row r="247" spans="1:2">
      <c r="A247" s="4">
        <v>45172</v>
      </c>
      <c r="B247" s="3">
        <v>56.72</v>
      </c>
    </row>
    <row r="248" spans="1:2">
      <c r="A248" s="4">
        <v>45173</v>
      </c>
      <c r="B248" s="3">
        <v>56.05</v>
      </c>
    </row>
    <row r="249" spans="1:2">
      <c r="A249" s="4">
        <v>45174</v>
      </c>
      <c r="B249" s="3">
        <v>55.19</v>
      </c>
    </row>
    <row r="250" spans="1:2">
      <c r="A250" s="4">
        <v>45175</v>
      </c>
      <c r="B250" s="3">
        <v>67.319999999999993</v>
      </c>
    </row>
    <row r="251" spans="1:2">
      <c r="A251" s="4">
        <v>45176</v>
      </c>
      <c r="B251" s="3">
        <v>60.55</v>
      </c>
    </row>
    <row r="252" spans="1:2">
      <c r="A252" s="4">
        <v>45177</v>
      </c>
      <c r="B252" s="3">
        <v>52.26</v>
      </c>
    </row>
    <row r="253" spans="1:2">
      <c r="A253" s="4">
        <v>45178</v>
      </c>
      <c r="B253" s="3">
        <v>63.19</v>
      </c>
    </row>
    <row r="254" spans="1:2">
      <c r="A254" s="4">
        <v>45179</v>
      </c>
      <c r="B254" s="3">
        <v>69.239999999999995</v>
      </c>
    </row>
    <row r="255" spans="1:2">
      <c r="A255" s="4">
        <v>45180</v>
      </c>
      <c r="B255" s="3">
        <v>63.83</v>
      </c>
    </row>
    <row r="256" spans="1:2">
      <c r="A256" s="4">
        <v>45181</v>
      </c>
      <c r="B256" s="3">
        <v>51.1</v>
      </c>
    </row>
    <row r="257" spans="1:2">
      <c r="A257" s="4">
        <v>45182</v>
      </c>
      <c r="B257" s="3">
        <v>56.31</v>
      </c>
    </row>
    <row r="258" spans="1:2">
      <c r="A258" s="4">
        <v>45183</v>
      </c>
      <c r="B258" s="3">
        <v>65.099999999999994</v>
      </c>
    </row>
    <row r="259" spans="1:2">
      <c r="A259" s="4">
        <v>45184</v>
      </c>
      <c r="B259" s="3">
        <v>55.26</v>
      </c>
    </row>
    <row r="260" spans="1:2">
      <c r="A260" s="4">
        <v>45185</v>
      </c>
      <c r="B260" s="3">
        <v>61.05</v>
      </c>
    </row>
    <row r="261" spans="1:2">
      <c r="A261" s="4">
        <v>45186</v>
      </c>
      <c r="B261" s="3">
        <v>62.74</v>
      </c>
    </row>
    <row r="262" spans="1:2">
      <c r="A262" s="4">
        <v>45187</v>
      </c>
      <c r="B262" s="3">
        <v>54.27</v>
      </c>
    </row>
    <row r="263" spans="1:2">
      <c r="A263" s="4">
        <v>45188</v>
      </c>
      <c r="B263" s="3">
        <v>58.64</v>
      </c>
    </row>
    <row r="264" spans="1:2">
      <c r="A264" s="4">
        <v>45189</v>
      </c>
      <c r="B264" s="3">
        <v>42.77</v>
      </c>
    </row>
    <row r="265" spans="1:2">
      <c r="A265" s="4">
        <v>45190</v>
      </c>
      <c r="B265" s="3">
        <v>53.88</v>
      </c>
    </row>
    <row r="266" spans="1:2">
      <c r="A266" s="4">
        <v>45191</v>
      </c>
      <c r="B266" s="3">
        <v>57.78</v>
      </c>
    </row>
    <row r="267" spans="1:2">
      <c r="A267" s="4">
        <v>45192</v>
      </c>
      <c r="B267" s="3">
        <v>52.84</v>
      </c>
    </row>
    <row r="268" spans="1:2">
      <c r="A268" s="4">
        <v>45193</v>
      </c>
      <c r="B268" s="3">
        <v>67.27</v>
      </c>
    </row>
    <row r="269" spans="1:2">
      <c r="A269" s="4">
        <v>45194</v>
      </c>
      <c r="B269" s="3">
        <v>51.99</v>
      </c>
    </row>
    <row r="270" spans="1:2">
      <c r="A270" s="4">
        <v>45195</v>
      </c>
      <c r="B270" s="3">
        <v>56.98</v>
      </c>
    </row>
    <row r="271" spans="1:2">
      <c r="A271" s="4">
        <v>45196</v>
      </c>
      <c r="B271" s="3">
        <v>59.87</v>
      </c>
    </row>
    <row r="272" spans="1:2">
      <c r="A272" s="4">
        <v>45197</v>
      </c>
      <c r="B272" s="3">
        <v>66.45</v>
      </c>
    </row>
    <row r="273" spans="1:2">
      <c r="A273" s="4">
        <v>45198</v>
      </c>
      <c r="B273" s="3">
        <v>52.1</v>
      </c>
    </row>
    <row r="274" spans="1:2">
      <c r="A274" s="4">
        <v>45199</v>
      </c>
      <c r="B274" s="3">
        <v>65.13</v>
      </c>
    </row>
    <row r="275" spans="1:2">
      <c r="A275" s="4">
        <v>45200</v>
      </c>
      <c r="B275" s="3">
        <v>59.4</v>
      </c>
    </row>
    <row r="276" spans="1:2">
      <c r="A276" s="4">
        <v>45201</v>
      </c>
      <c r="B276" s="3">
        <v>54.48</v>
      </c>
    </row>
    <row r="277" spans="1:2">
      <c r="A277" s="4">
        <v>45202</v>
      </c>
      <c r="B277" s="3">
        <v>61.73</v>
      </c>
    </row>
    <row r="278" spans="1:2">
      <c r="A278" s="4">
        <v>45203</v>
      </c>
      <c r="B278" s="3">
        <v>60.45</v>
      </c>
    </row>
    <row r="279" spans="1:2">
      <c r="A279" s="4">
        <v>45204</v>
      </c>
      <c r="B279" s="3">
        <v>56.49</v>
      </c>
    </row>
    <row r="280" spans="1:2">
      <c r="A280" s="4">
        <v>45205</v>
      </c>
      <c r="B280" s="3">
        <v>59.87</v>
      </c>
    </row>
    <row r="281" spans="1:2">
      <c r="A281" s="4">
        <v>45206</v>
      </c>
      <c r="B281" s="3">
        <v>57.63</v>
      </c>
    </row>
    <row r="282" spans="1:2">
      <c r="A282" s="4">
        <v>45207</v>
      </c>
      <c r="B282" s="3">
        <v>60.16</v>
      </c>
    </row>
    <row r="283" spans="1:2">
      <c r="A283" s="4">
        <v>45208</v>
      </c>
      <c r="B283" s="3">
        <v>62.93</v>
      </c>
    </row>
    <row r="284" spans="1:2">
      <c r="A284" s="4">
        <v>45209</v>
      </c>
      <c r="B284" s="3">
        <v>67.59</v>
      </c>
    </row>
    <row r="285" spans="1:2">
      <c r="A285" s="4">
        <v>45210</v>
      </c>
      <c r="B285" s="3">
        <v>53.5</v>
      </c>
    </row>
    <row r="286" spans="1:2">
      <c r="A286" s="4">
        <v>45211</v>
      </c>
      <c r="B286" s="3">
        <v>70.39</v>
      </c>
    </row>
    <row r="287" spans="1:2">
      <c r="A287" s="4">
        <v>45212</v>
      </c>
      <c r="B287" s="3">
        <v>50</v>
      </c>
    </row>
    <row r="288" spans="1:2">
      <c r="A288" s="4">
        <v>45213</v>
      </c>
      <c r="B288" s="3">
        <v>59.04</v>
      </c>
    </row>
    <row r="289" spans="1:2">
      <c r="A289" s="4">
        <v>45214</v>
      </c>
      <c r="B289" s="3">
        <v>62.77</v>
      </c>
    </row>
    <row r="290" spans="1:2">
      <c r="A290" s="4">
        <v>45215</v>
      </c>
      <c r="B290" s="3">
        <v>61.27</v>
      </c>
    </row>
    <row r="291" spans="1:2">
      <c r="A291" s="4">
        <v>45216</v>
      </c>
      <c r="B291" s="3">
        <v>56.78</v>
      </c>
    </row>
    <row r="292" spans="1:2">
      <c r="A292" s="4">
        <v>45217</v>
      </c>
      <c r="B292" s="3">
        <v>58.89</v>
      </c>
    </row>
    <row r="293" spans="1:2">
      <c r="A293" s="4">
        <v>45218</v>
      </c>
      <c r="B293" s="3">
        <v>57.5</v>
      </c>
    </row>
    <row r="294" spans="1:2">
      <c r="A294" s="4">
        <v>45219</v>
      </c>
      <c r="B294" s="3">
        <v>57.05</v>
      </c>
    </row>
    <row r="295" spans="1:2">
      <c r="A295" s="4">
        <v>45220</v>
      </c>
      <c r="B295" s="3">
        <v>64.28</v>
      </c>
    </row>
    <row r="296" spans="1:2">
      <c r="A296" s="4">
        <v>45221</v>
      </c>
      <c r="B296" s="3">
        <v>61.85</v>
      </c>
    </row>
    <row r="297" spans="1:2">
      <c r="A297" s="4">
        <v>45222</v>
      </c>
      <c r="B297" s="3">
        <v>56.64</v>
      </c>
    </row>
    <row r="298" spans="1:2">
      <c r="A298" s="4">
        <v>45223</v>
      </c>
      <c r="B298" s="3">
        <v>64.63</v>
      </c>
    </row>
    <row r="299" spans="1:2">
      <c r="A299" s="4">
        <v>45224</v>
      </c>
      <c r="B299" s="3">
        <v>61.71</v>
      </c>
    </row>
    <row r="300" spans="1:2">
      <c r="A300" s="4">
        <v>45225</v>
      </c>
      <c r="B300" s="3">
        <v>64.27</v>
      </c>
    </row>
    <row r="301" spans="1:2">
      <c r="A301" s="4">
        <v>45226</v>
      </c>
      <c r="B301" s="3">
        <v>63.39</v>
      </c>
    </row>
    <row r="302" spans="1:2">
      <c r="A302" s="4">
        <v>45227</v>
      </c>
      <c r="B302" s="3">
        <v>56.13</v>
      </c>
    </row>
    <row r="303" spans="1:2">
      <c r="A303" s="4">
        <v>45228</v>
      </c>
      <c r="B303" s="3">
        <v>57.51</v>
      </c>
    </row>
    <row r="304" spans="1:2">
      <c r="A304" s="4">
        <v>45229</v>
      </c>
      <c r="B304" s="3">
        <v>64.08</v>
      </c>
    </row>
    <row r="305" spans="1:2">
      <c r="A305" s="4">
        <v>45230</v>
      </c>
      <c r="B305" s="3">
        <v>63.43</v>
      </c>
    </row>
    <row r="306" spans="1:2">
      <c r="A306" s="4">
        <v>45231</v>
      </c>
      <c r="B306" s="3">
        <v>60.31</v>
      </c>
    </row>
    <row r="307" spans="1:2">
      <c r="A307" s="4">
        <v>45232</v>
      </c>
      <c r="B307" s="3">
        <v>61.03</v>
      </c>
    </row>
    <row r="308" spans="1:2">
      <c r="A308" s="4">
        <v>45233</v>
      </c>
      <c r="B308" s="3">
        <v>66.87</v>
      </c>
    </row>
    <row r="309" spans="1:2">
      <c r="A309" s="4">
        <v>45234</v>
      </c>
      <c r="B309" s="3">
        <v>57.56</v>
      </c>
    </row>
    <row r="310" spans="1:2">
      <c r="A310" s="4">
        <v>45235</v>
      </c>
      <c r="B310" s="3">
        <v>63.28</v>
      </c>
    </row>
    <row r="311" spans="1:2">
      <c r="A311" s="4">
        <v>45236</v>
      </c>
      <c r="B311" s="3">
        <v>59.57</v>
      </c>
    </row>
    <row r="312" spans="1:2">
      <c r="A312" s="4">
        <v>45237</v>
      </c>
      <c r="B312" s="3">
        <v>59.53</v>
      </c>
    </row>
    <row r="313" spans="1:2">
      <c r="A313" s="4">
        <v>45238</v>
      </c>
      <c r="B313" s="3">
        <v>66.14</v>
      </c>
    </row>
    <row r="314" spans="1:2">
      <c r="A314" s="4">
        <v>45239</v>
      </c>
      <c r="B314" s="3">
        <v>64.81</v>
      </c>
    </row>
    <row r="315" spans="1:2">
      <c r="A315" s="4">
        <v>45240</v>
      </c>
      <c r="B315" s="3">
        <v>64.790000000000006</v>
      </c>
    </row>
    <row r="316" spans="1:2">
      <c r="A316" s="4">
        <v>45241</v>
      </c>
      <c r="B316" s="3">
        <v>67.28</v>
      </c>
    </row>
    <row r="317" spans="1:2">
      <c r="A317" s="4">
        <v>45242</v>
      </c>
      <c r="B317" s="3">
        <v>60.89</v>
      </c>
    </row>
    <row r="318" spans="1:2">
      <c r="A318" s="4">
        <v>45243</v>
      </c>
      <c r="B318" s="3">
        <v>64.23</v>
      </c>
    </row>
    <row r="319" spans="1:2">
      <c r="A319" s="4">
        <v>45244</v>
      </c>
      <c r="B319" s="3">
        <v>59.3</v>
      </c>
    </row>
    <row r="320" spans="1:2">
      <c r="A320" s="4">
        <v>45245</v>
      </c>
      <c r="B320" s="3">
        <v>62.51</v>
      </c>
    </row>
    <row r="321" spans="1:2">
      <c r="A321" s="4">
        <v>45246</v>
      </c>
      <c r="B321" s="3">
        <v>60.27</v>
      </c>
    </row>
    <row r="322" spans="1:2">
      <c r="A322" s="4">
        <v>45247</v>
      </c>
      <c r="B322" s="3">
        <v>61.44</v>
      </c>
    </row>
    <row r="323" spans="1:2">
      <c r="A323" s="4">
        <v>45248</v>
      </c>
      <c r="B323" s="3">
        <v>63.97</v>
      </c>
    </row>
    <row r="324" spans="1:2">
      <c r="A324" s="4">
        <v>45249</v>
      </c>
      <c r="B324" s="3">
        <v>56.94</v>
      </c>
    </row>
    <row r="325" spans="1:2">
      <c r="A325" s="4">
        <v>45250</v>
      </c>
      <c r="B325" s="3">
        <v>71.52</v>
      </c>
    </row>
    <row r="326" spans="1:2">
      <c r="A326" s="4">
        <v>45251</v>
      </c>
      <c r="B326" s="3">
        <v>56.07</v>
      </c>
    </row>
    <row r="327" spans="1:2">
      <c r="A327" s="4">
        <v>45252</v>
      </c>
      <c r="B327" s="3">
        <v>55.06</v>
      </c>
    </row>
    <row r="328" spans="1:2">
      <c r="A328" s="4">
        <v>45253</v>
      </c>
      <c r="B328" s="3">
        <v>66.95</v>
      </c>
    </row>
    <row r="329" spans="1:2">
      <c r="A329" s="4">
        <v>45254</v>
      </c>
      <c r="B329" s="3">
        <v>65.16</v>
      </c>
    </row>
    <row r="330" spans="1:2">
      <c r="A330" s="4">
        <v>45255</v>
      </c>
      <c r="B330" s="3">
        <v>64.349999999999994</v>
      </c>
    </row>
    <row r="331" spans="1:2">
      <c r="A331" s="4">
        <v>45256</v>
      </c>
      <c r="B331" s="3">
        <v>64.41</v>
      </c>
    </row>
    <row r="332" spans="1:2">
      <c r="A332" s="4">
        <v>45257</v>
      </c>
      <c r="B332" s="3">
        <v>61.24</v>
      </c>
    </row>
    <row r="333" spans="1:2">
      <c r="A333" s="4">
        <v>45258</v>
      </c>
      <c r="B333" s="3">
        <v>56.85</v>
      </c>
    </row>
    <row r="334" spans="1:2">
      <c r="A334" s="4">
        <v>45259</v>
      </c>
      <c r="B334" s="3">
        <v>61.75</v>
      </c>
    </row>
    <row r="335" spans="1:2">
      <c r="A335" s="4">
        <v>45260</v>
      </c>
      <c r="B335" s="3">
        <v>58.02</v>
      </c>
    </row>
    <row r="336" spans="1:2">
      <c r="A336" s="4">
        <v>45261</v>
      </c>
      <c r="B336" s="3">
        <v>66.31</v>
      </c>
    </row>
    <row r="337" spans="1:2">
      <c r="A337" s="4">
        <v>45262</v>
      </c>
      <c r="B337" s="3">
        <v>60.74</v>
      </c>
    </row>
    <row r="338" spans="1:2">
      <c r="A338" s="4">
        <v>45263</v>
      </c>
      <c r="B338" s="3">
        <v>57.38</v>
      </c>
    </row>
    <row r="339" spans="1:2">
      <c r="A339" s="4">
        <v>45264</v>
      </c>
      <c r="B339" s="3">
        <v>59.93</v>
      </c>
    </row>
    <row r="340" spans="1:2">
      <c r="A340" s="4">
        <v>45265</v>
      </c>
      <c r="B340" s="3">
        <v>63.64</v>
      </c>
    </row>
    <row r="341" spans="1:2">
      <c r="A341" s="4">
        <v>45266</v>
      </c>
      <c r="B341" s="3">
        <v>58.79</v>
      </c>
    </row>
    <row r="342" spans="1:2">
      <c r="A342" s="4">
        <v>45267</v>
      </c>
      <c r="B342" s="3">
        <v>57.53</v>
      </c>
    </row>
    <row r="343" spans="1:2">
      <c r="A343" s="4">
        <v>45268</v>
      </c>
      <c r="B343" s="3">
        <v>62.9</v>
      </c>
    </row>
    <row r="344" spans="1:2">
      <c r="A344" s="4">
        <v>45269</v>
      </c>
      <c r="B344" s="3">
        <v>62.94</v>
      </c>
    </row>
    <row r="345" spans="1:2">
      <c r="A345" s="4">
        <v>45270</v>
      </c>
      <c r="B345" s="3">
        <v>59.21</v>
      </c>
    </row>
    <row r="346" spans="1:2">
      <c r="A346" s="4">
        <v>45271</v>
      </c>
      <c r="B346" s="3">
        <v>59.43</v>
      </c>
    </row>
    <row r="347" spans="1:2">
      <c r="A347" s="4">
        <v>45272</v>
      </c>
      <c r="B347" s="3">
        <v>62.98</v>
      </c>
    </row>
    <row r="348" spans="1:2">
      <c r="A348" s="4">
        <v>45273</v>
      </c>
      <c r="B348" s="3">
        <v>54.61</v>
      </c>
    </row>
    <row r="349" spans="1:2">
      <c r="A349" s="4">
        <v>45274</v>
      </c>
      <c r="B349" s="3">
        <v>54.85</v>
      </c>
    </row>
    <row r="350" spans="1:2">
      <c r="A350" s="4">
        <v>45275</v>
      </c>
      <c r="B350" s="3">
        <v>58.33</v>
      </c>
    </row>
    <row r="351" spans="1:2">
      <c r="A351" s="4">
        <v>45276</v>
      </c>
      <c r="B351" s="3">
        <v>60.88</v>
      </c>
    </row>
    <row r="352" spans="1:2">
      <c r="A352" s="4">
        <v>45277</v>
      </c>
      <c r="B352" s="3">
        <v>63.54</v>
      </c>
    </row>
    <row r="353" spans="1:2">
      <c r="A353" s="4">
        <v>45278</v>
      </c>
      <c r="B353" s="3">
        <v>69.400000000000006</v>
      </c>
    </row>
    <row r="354" spans="1:2">
      <c r="A354" s="4">
        <v>45279</v>
      </c>
      <c r="B354" s="3">
        <v>66.34</v>
      </c>
    </row>
    <row r="355" spans="1:2">
      <c r="A355" s="4">
        <v>45280</v>
      </c>
      <c r="B355" s="3">
        <v>61.29</v>
      </c>
    </row>
    <row r="356" spans="1:2">
      <c r="A356" s="4">
        <v>45281</v>
      </c>
      <c r="B356" s="3">
        <v>62.03</v>
      </c>
    </row>
    <row r="357" spans="1:2">
      <c r="A357" s="4">
        <v>45282</v>
      </c>
      <c r="B357" s="3">
        <v>57.14</v>
      </c>
    </row>
    <row r="358" spans="1:2">
      <c r="A358" s="4">
        <v>45283</v>
      </c>
      <c r="B358" s="3">
        <v>62.1</v>
      </c>
    </row>
    <row r="359" spans="1:2">
      <c r="A359" s="4">
        <v>45284</v>
      </c>
      <c r="B359" s="3">
        <v>60.78</v>
      </c>
    </row>
    <row r="360" spans="1:2">
      <c r="A360" s="4">
        <v>45285</v>
      </c>
      <c r="B360" s="3">
        <v>63.87</v>
      </c>
    </row>
    <row r="361" spans="1:2">
      <c r="A361" s="4">
        <v>45286</v>
      </c>
      <c r="B361" s="3">
        <v>58.16</v>
      </c>
    </row>
    <row r="362" spans="1:2">
      <c r="A362" s="4">
        <v>45287</v>
      </c>
      <c r="B362" s="3">
        <v>64.930000000000007</v>
      </c>
    </row>
    <row r="363" spans="1:2">
      <c r="A363" s="4">
        <v>45288</v>
      </c>
      <c r="B363" s="3">
        <v>70.03</v>
      </c>
    </row>
    <row r="364" spans="1:2">
      <c r="A364" s="4">
        <v>45289</v>
      </c>
      <c r="B364" s="3">
        <v>61.85</v>
      </c>
    </row>
    <row r="365" spans="1:2">
      <c r="A365" s="4">
        <v>45290</v>
      </c>
      <c r="B365" s="3">
        <v>64.44</v>
      </c>
    </row>
    <row r="366" spans="1:2">
      <c r="A366" s="4">
        <v>45291</v>
      </c>
      <c r="B366" s="3">
        <v>65.92</v>
      </c>
    </row>
    <row r="367" spans="1:2">
      <c r="A367" s="4">
        <v>45292</v>
      </c>
      <c r="B367" s="3">
        <v>60.49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137-E390-4E19-922E-59A20B550046}">
  <sheetPr>
    <tabColor theme="9" tint="-0.249977111117893"/>
  </sheetPr>
  <dimension ref="A1:J399"/>
  <sheetViews>
    <sheetView zoomScale="55" zoomScaleNormal="55" workbookViewId="0">
      <selection activeCell="J2" sqref="J2"/>
    </sheetView>
  </sheetViews>
  <sheetFormatPr defaultColWidth="8.734375" defaultRowHeight="21"/>
  <cols>
    <col min="1" max="1" width="8.734375" style="1"/>
    <col min="2" max="2" width="10.3125" style="1" customWidth="1"/>
    <col min="3" max="3" width="14.5234375" style="1" customWidth="1"/>
    <col min="4" max="4" width="13.20703125" style="1" customWidth="1"/>
    <col min="5" max="5" width="8.734375" style="1"/>
    <col min="6" max="6" width="13.41796875" style="1" customWidth="1"/>
    <col min="7" max="7" width="13.1015625" style="1" customWidth="1"/>
    <col min="8" max="9" width="8.734375" style="1"/>
    <col min="10" max="10" width="15.26171875" style="1" bestFit="1" customWidth="1"/>
    <col min="11" max="11" width="13" style="1" bestFit="1" customWidth="1"/>
    <col min="12" max="16384" width="8.7343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8</v>
      </c>
      <c r="J2" s="1" t="e" cm="1" vm="2">
        <f t="array" ref="J2">_xlfn._xlws.PY(2,1,mpg[#All])</f>
        <v>#VALUE!</v>
      </c>
    </row>
    <row r="3" spans="1:10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8</v>
      </c>
    </row>
    <row r="4" spans="1:10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8</v>
      </c>
    </row>
    <row r="5" spans="1:10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8</v>
      </c>
    </row>
    <row r="6" spans="1:10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8</v>
      </c>
    </row>
    <row r="7" spans="1:10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8</v>
      </c>
    </row>
    <row r="8" spans="1:10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8</v>
      </c>
    </row>
    <row r="9" spans="1:10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8</v>
      </c>
    </row>
    <row r="10" spans="1:10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8</v>
      </c>
    </row>
    <row r="11" spans="1:10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8</v>
      </c>
    </row>
    <row r="12" spans="1:10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8</v>
      </c>
    </row>
    <row r="13" spans="1:10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8</v>
      </c>
    </row>
    <row r="14" spans="1:10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8</v>
      </c>
    </row>
    <row r="15" spans="1:10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8</v>
      </c>
    </row>
    <row r="16" spans="1:10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9</v>
      </c>
    </row>
    <row r="17" spans="1:8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8</v>
      </c>
    </row>
    <row r="18" spans="1:8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8</v>
      </c>
    </row>
    <row r="19" spans="1:8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8</v>
      </c>
    </row>
    <row r="20" spans="1:8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9</v>
      </c>
    </row>
    <row r="21" spans="1:8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10</v>
      </c>
    </row>
    <row r="22" spans="1:8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10</v>
      </c>
    </row>
    <row r="23" spans="1:8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10</v>
      </c>
    </row>
    <row r="24" spans="1:8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10</v>
      </c>
    </row>
    <row r="25" spans="1:8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10</v>
      </c>
    </row>
    <row r="26" spans="1:8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8</v>
      </c>
    </row>
    <row r="27" spans="1:8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8</v>
      </c>
    </row>
    <row r="28" spans="1:8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8</v>
      </c>
    </row>
    <row r="29" spans="1:8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8</v>
      </c>
    </row>
    <row r="30" spans="1:8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8</v>
      </c>
    </row>
    <row r="31" spans="1:8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9</v>
      </c>
    </row>
    <row r="32" spans="1:8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8</v>
      </c>
    </row>
    <row r="33" spans="1:8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9</v>
      </c>
    </row>
    <row r="34" spans="1:8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8</v>
      </c>
    </row>
    <row r="35" spans="1:8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8</v>
      </c>
    </row>
    <row r="36" spans="1:8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8</v>
      </c>
    </row>
    <row r="37" spans="1:8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8</v>
      </c>
    </row>
    <row r="38" spans="1:8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8</v>
      </c>
    </row>
    <row r="39" spans="1:8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8</v>
      </c>
    </row>
    <row r="40" spans="1:8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8</v>
      </c>
    </row>
    <row r="41" spans="1:8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8</v>
      </c>
    </row>
    <row r="42" spans="1:8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8</v>
      </c>
    </row>
    <row r="43" spans="1:8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8</v>
      </c>
    </row>
    <row r="44" spans="1:8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8</v>
      </c>
    </row>
    <row r="45" spans="1:8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8</v>
      </c>
    </row>
    <row r="46" spans="1:8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8</v>
      </c>
    </row>
    <row r="47" spans="1:8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8</v>
      </c>
    </row>
    <row r="48" spans="1:8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8</v>
      </c>
    </row>
    <row r="49" spans="1:8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8</v>
      </c>
    </row>
    <row r="50" spans="1:8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8</v>
      </c>
    </row>
    <row r="51" spans="1:8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8</v>
      </c>
    </row>
    <row r="52" spans="1:8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10</v>
      </c>
    </row>
    <row r="53" spans="1:8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10</v>
      </c>
    </row>
    <row r="54" spans="1:8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10</v>
      </c>
    </row>
    <row r="55" spans="1:8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9</v>
      </c>
    </row>
    <row r="56" spans="1:8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9</v>
      </c>
    </row>
    <row r="57" spans="1:8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10</v>
      </c>
    </row>
    <row r="58" spans="1:8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8</v>
      </c>
    </row>
    <row r="59" spans="1:8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9</v>
      </c>
    </row>
    <row r="60" spans="1:8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8</v>
      </c>
    </row>
    <row r="61" spans="1:8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10</v>
      </c>
    </row>
    <row r="62" spans="1:8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8</v>
      </c>
    </row>
    <row r="63" spans="1:8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8</v>
      </c>
    </row>
    <row r="64" spans="1:8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8</v>
      </c>
    </row>
    <row r="65" spans="1:8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8</v>
      </c>
    </row>
    <row r="66" spans="1:8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8</v>
      </c>
    </row>
    <row r="67" spans="1:8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8</v>
      </c>
    </row>
    <row r="68" spans="1:8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8</v>
      </c>
    </row>
    <row r="69" spans="1:8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8</v>
      </c>
    </row>
    <row r="70" spans="1:8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8</v>
      </c>
    </row>
    <row r="71" spans="1:8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8</v>
      </c>
    </row>
    <row r="72" spans="1:8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8</v>
      </c>
    </row>
    <row r="73" spans="1:8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9</v>
      </c>
    </row>
    <row r="74" spans="1:8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8</v>
      </c>
    </row>
    <row r="75" spans="1:8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8</v>
      </c>
    </row>
    <row r="76" spans="1:8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8</v>
      </c>
    </row>
    <row r="77" spans="1:8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8</v>
      </c>
    </row>
    <row r="78" spans="1:8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10</v>
      </c>
    </row>
    <row r="79" spans="1:8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10</v>
      </c>
    </row>
    <row r="80" spans="1:8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10</v>
      </c>
    </row>
    <row r="81" spans="1:8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10</v>
      </c>
    </row>
    <row r="82" spans="1:8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8</v>
      </c>
    </row>
    <row r="83" spans="1:8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9</v>
      </c>
    </row>
    <row r="84" spans="1:8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9</v>
      </c>
    </row>
    <row r="85" spans="1:8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8</v>
      </c>
    </row>
    <row r="86" spans="1:8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9</v>
      </c>
    </row>
    <row r="87" spans="1:8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8</v>
      </c>
    </row>
    <row r="88" spans="1:8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8</v>
      </c>
    </row>
    <row r="89" spans="1:8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8</v>
      </c>
    </row>
    <row r="90" spans="1:8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8</v>
      </c>
    </row>
    <row r="91" spans="1:8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8</v>
      </c>
    </row>
    <row r="92" spans="1:8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8</v>
      </c>
    </row>
    <row r="93" spans="1:8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8</v>
      </c>
    </row>
    <row r="94" spans="1:8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8</v>
      </c>
    </row>
    <row r="95" spans="1:8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8</v>
      </c>
    </row>
    <row r="96" spans="1:8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8</v>
      </c>
    </row>
    <row r="97" spans="1:8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8</v>
      </c>
    </row>
    <row r="98" spans="1:8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8</v>
      </c>
    </row>
    <row r="99" spans="1:8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8</v>
      </c>
    </row>
    <row r="100" spans="1:8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8</v>
      </c>
    </row>
    <row r="101" spans="1:8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8</v>
      </c>
    </row>
    <row r="102" spans="1:8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8</v>
      </c>
    </row>
    <row r="103" spans="1:8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8</v>
      </c>
    </row>
    <row r="104" spans="1:8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10</v>
      </c>
    </row>
    <row r="105" spans="1:8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8</v>
      </c>
    </row>
    <row r="106" spans="1:8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8</v>
      </c>
    </row>
    <row r="107" spans="1:8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8</v>
      </c>
    </row>
    <row r="108" spans="1:8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8</v>
      </c>
    </row>
    <row r="109" spans="1:8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8</v>
      </c>
    </row>
    <row r="110" spans="1:8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9</v>
      </c>
    </row>
    <row r="111" spans="1:8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8</v>
      </c>
    </row>
    <row r="112" spans="1:8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9</v>
      </c>
    </row>
    <row r="113" spans="1:8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9</v>
      </c>
    </row>
    <row r="114" spans="1:8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8</v>
      </c>
    </row>
    <row r="115" spans="1:8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8</v>
      </c>
    </row>
    <row r="116" spans="1:8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10</v>
      </c>
    </row>
    <row r="117" spans="1:8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8</v>
      </c>
    </row>
    <row r="118" spans="1:8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8</v>
      </c>
    </row>
    <row r="119" spans="1:8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10</v>
      </c>
    </row>
    <row r="120" spans="1:8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10</v>
      </c>
    </row>
    <row r="121" spans="1:8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10</v>
      </c>
    </row>
    <row r="122" spans="1:8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10</v>
      </c>
    </row>
    <row r="123" spans="1:8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8</v>
      </c>
    </row>
    <row r="124" spans="1:8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10</v>
      </c>
    </row>
    <row r="125" spans="1:8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9</v>
      </c>
    </row>
    <row r="126" spans="1:8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8</v>
      </c>
    </row>
    <row r="127" spans="1:8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8</v>
      </c>
    </row>
    <row r="128" spans="1:8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8</v>
      </c>
    </row>
    <row r="129" spans="1:8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8</v>
      </c>
    </row>
    <row r="130" spans="1:8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8</v>
      </c>
    </row>
    <row r="131" spans="1:8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9</v>
      </c>
    </row>
    <row r="132" spans="1:8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8</v>
      </c>
    </row>
    <row r="133" spans="1:8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9</v>
      </c>
    </row>
    <row r="134" spans="1:8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8</v>
      </c>
    </row>
    <row r="135" spans="1:8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8</v>
      </c>
    </row>
    <row r="136" spans="1:8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8</v>
      </c>
    </row>
    <row r="137" spans="1:8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8</v>
      </c>
    </row>
    <row r="138" spans="1:8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8</v>
      </c>
    </row>
    <row r="139" spans="1:8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8</v>
      </c>
    </row>
    <row r="140" spans="1:8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8</v>
      </c>
    </row>
    <row r="141" spans="1:8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8</v>
      </c>
    </row>
    <row r="142" spans="1:8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8</v>
      </c>
    </row>
    <row r="143" spans="1:8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10</v>
      </c>
    </row>
    <row r="144" spans="1:8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10</v>
      </c>
    </row>
    <row r="145" spans="1:8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10</v>
      </c>
    </row>
    <row r="146" spans="1:8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9</v>
      </c>
    </row>
    <row r="147" spans="1:8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9</v>
      </c>
    </row>
    <row r="148" spans="1:8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8</v>
      </c>
    </row>
    <row r="149" spans="1:8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10</v>
      </c>
    </row>
    <row r="150" spans="1:8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10</v>
      </c>
    </row>
    <row r="151" spans="1:8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9</v>
      </c>
    </row>
    <row r="152" spans="1:8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9</v>
      </c>
    </row>
    <row r="153" spans="1:8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10</v>
      </c>
    </row>
    <row r="154" spans="1:8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8</v>
      </c>
    </row>
    <row r="155" spans="1:8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8</v>
      </c>
    </row>
    <row r="156" spans="1:8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8</v>
      </c>
    </row>
    <row r="157" spans="1:8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8</v>
      </c>
    </row>
    <row r="158" spans="1:8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8</v>
      </c>
    </row>
    <row r="159" spans="1:8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8</v>
      </c>
    </row>
    <row r="160" spans="1:8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8</v>
      </c>
    </row>
    <row r="161" spans="1:8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8</v>
      </c>
    </row>
    <row r="162" spans="1:8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8</v>
      </c>
    </row>
    <row r="163" spans="1:8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8</v>
      </c>
    </row>
    <row r="164" spans="1:8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8</v>
      </c>
    </row>
    <row r="165" spans="1:8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8</v>
      </c>
    </row>
    <row r="166" spans="1:8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8</v>
      </c>
    </row>
    <row r="167" spans="1:8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8</v>
      </c>
    </row>
    <row r="168" spans="1:8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8</v>
      </c>
    </row>
    <row r="169" spans="1:8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9</v>
      </c>
    </row>
    <row r="170" spans="1:8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8</v>
      </c>
    </row>
    <row r="171" spans="1:8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8</v>
      </c>
    </row>
    <row r="172" spans="1:8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8</v>
      </c>
    </row>
    <row r="173" spans="1:8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9</v>
      </c>
    </row>
    <row r="174" spans="1:8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10</v>
      </c>
    </row>
    <row r="175" spans="1:8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9</v>
      </c>
    </row>
    <row r="176" spans="1:8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8</v>
      </c>
    </row>
    <row r="177" spans="1:8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10</v>
      </c>
    </row>
    <row r="178" spans="1:8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8</v>
      </c>
    </row>
    <row r="179" spans="1:8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10</v>
      </c>
    </row>
    <row r="180" spans="1:8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10</v>
      </c>
    </row>
    <row r="181" spans="1:8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10</v>
      </c>
    </row>
    <row r="182" spans="1:8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10</v>
      </c>
    </row>
    <row r="183" spans="1:8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9</v>
      </c>
    </row>
    <row r="184" spans="1:8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10</v>
      </c>
    </row>
    <row r="185" spans="1:8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10</v>
      </c>
    </row>
    <row r="186" spans="1:8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8</v>
      </c>
    </row>
    <row r="187" spans="1:8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8</v>
      </c>
    </row>
    <row r="188" spans="1:8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10</v>
      </c>
    </row>
    <row r="189" spans="1:8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8</v>
      </c>
    </row>
    <row r="190" spans="1:8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8</v>
      </c>
    </row>
    <row r="191" spans="1:8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8</v>
      </c>
    </row>
    <row r="192" spans="1:8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8</v>
      </c>
    </row>
    <row r="193" spans="1:8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8</v>
      </c>
    </row>
    <row r="194" spans="1:8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8</v>
      </c>
    </row>
    <row r="195" spans="1:8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8</v>
      </c>
    </row>
    <row r="196" spans="1:8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8</v>
      </c>
    </row>
    <row r="197" spans="1:8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8</v>
      </c>
    </row>
    <row r="198" spans="1:8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8</v>
      </c>
    </row>
    <row r="199" spans="1:8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10</v>
      </c>
    </row>
    <row r="200" spans="1:8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9</v>
      </c>
    </row>
    <row r="201" spans="1:8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8</v>
      </c>
    </row>
    <row r="202" spans="1:8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8</v>
      </c>
    </row>
    <row r="203" spans="1:8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8</v>
      </c>
    </row>
    <row r="204" spans="1:8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8</v>
      </c>
    </row>
    <row r="205" spans="1:8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10</v>
      </c>
    </row>
    <row r="206" spans="1:8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9</v>
      </c>
    </row>
    <row r="207" spans="1:8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9</v>
      </c>
    </row>
    <row r="208" spans="1:8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8</v>
      </c>
    </row>
    <row r="209" spans="1:8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10</v>
      </c>
    </row>
    <row r="210" spans="1:8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8</v>
      </c>
    </row>
    <row r="211" spans="1:8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10</v>
      </c>
    </row>
    <row r="212" spans="1:8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9</v>
      </c>
    </row>
    <row r="213" spans="1:8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10</v>
      </c>
    </row>
    <row r="214" spans="1:8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8</v>
      </c>
    </row>
    <row r="215" spans="1:8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8</v>
      </c>
    </row>
    <row r="216" spans="1:8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8</v>
      </c>
    </row>
    <row r="217" spans="1:8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8</v>
      </c>
    </row>
    <row r="218" spans="1:8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9</v>
      </c>
    </row>
    <row r="219" spans="1:8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8</v>
      </c>
    </row>
    <row r="220" spans="1:8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10</v>
      </c>
    </row>
    <row r="221" spans="1:8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8</v>
      </c>
    </row>
    <row r="222" spans="1:8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9</v>
      </c>
    </row>
    <row r="223" spans="1:8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8</v>
      </c>
    </row>
    <row r="224" spans="1:8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8</v>
      </c>
    </row>
    <row r="225" spans="1:8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8</v>
      </c>
    </row>
    <row r="226" spans="1:8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8</v>
      </c>
    </row>
    <row r="227" spans="1:8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8</v>
      </c>
    </row>
    <row r="228" spans="1:8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8</v>
      </c>
    </row>
    <row r="229" spans="1:8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8</v>
      </c>
    </row>
    <row r="230" spans="1:8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8</v>
      </c>
    </row>
    <row r="231" spans="1:8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8</v>
      </c>
    </row>
    <row r="232" spans="1:8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8</v>
      </c>
    </row>
    <row r="233" spans="1:8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8</v>
      </c>
    </row>
    <row r="234" spans="1:8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8</v>
      </c>
    </row>
    <row r="235" spans="1:8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10</v>
      </c>
    </row>
    <row r="236" spans="1:8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8</v>
      </c>
    </row>
    <row r="237" spans="1:8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9</v>
      </c>
    </row>
    <row r="238" spans="1:8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8</v>
      </c>
    </row>
    <row r="239" spans="1:8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8</v>
      </c>
    </row>
    <row r="240" spans="1:8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8</v>
      </c>
    </row>
    <row r="241" spans="1:8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9</v>
      </c>
    </row>
    <row r="242" spans="1:8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10</v>
      </c>
    </row>
    <row r="243" spans="1:8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9</v>
      </c>
    </row>
    <row r="244" spans="1:8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10</v>
      </c>
    </row>
    <row r="245" spans="1:8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9</v>
      </c>
    </row>
    <row r="246" spans="1:8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10</v>
      </c>
    </row>
    <row r="247" spans="1:8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8</v>
      </c>
    </row>
    <row r="248" spans="1:8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9</v>
      </c>
    </row>
    <row r="249" spans="1:8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9</v>
      </c>
    </row>
    <row r="250" spans="1:8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9</v>
      </c>
    </row>
    <row r="251" spans="1:8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8</v>
      </c>
    </row>
    <row r="252" spans="1:8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8</v>
      </c>
    </row>
    <row r="253" spans="1:8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8</v>
      </c>
    </row>
    <row r="254" spans="1:8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8</v>
      </c>
    </row>
    <row r="255" spans="1:8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8</v>
      </c>
    </row>
    <row r="256" spans="1:8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8</v>
      </c>
    </row>
    <row r="257" spans="1:8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8</v>
      </c>
    </row>
    <row r="258" spans="1:8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8</v>
      </c>
    </row>
    <row r="259" spans="1:8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8</v>
      </c>
    </row>
    <row r="260" spans="1:8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8</v>
      </c>
    </row>
    <row r="261" spans="1:8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8</v>
      </c>
    </row>
    <row r="262" spans="1:8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8</v>
      </c>
    </row>
    <row r="263" spans="1:8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8</v>
      </c>
    </row>
    <row r="264" spans="1:8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8</v>
      </c>
    </row>
    <row r="265" spans="1:8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8</v>
      </c>
    </row>
    <row r="266" spans="1:8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8</v>
      </c>
    </row>
    <row r="267" spans="1:8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8</v>
      </c>
    </row>
    <row r="268" spans="1:8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8</v>
      </c>
    </row>
    <row r="269" spans="1:8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9</v>
      </c>
    </row>
    <row r="270" spans="1:8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9</v>
      </c>
    </row>
    <row r="271" spans="1:8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8</v>
      </c>
    </row>
    <row r="272" spans="1:8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9</v>
      </c>
    </row>
    <row r="273" spans="1:8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8</v>
      </c>
    </row>
    <row r="274" spans="1:8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8</v>
      </c>
    </row>
    <row r="275" spans="1:8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9</v>
      </c>
    </row>
    <row r="276" spans="1:8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10</v>
      </c>
    </row>
    <row r="277" spans="1:8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10</v>
      </c>
    </row>
    <row r="278" spans="1:8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10</v>
      </c>
    </row>
    <row r="279" spans="1:8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10</v>
      </c>
    </row>
    <row r="280" spans="1:8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10</v>
      </c>
    </row>
    <row r="281" spans="1:8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9</v>
      </c>
    </row>
    <row r="282" spans="1:8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8</v>
      </c>
    </row>
    <row r="283" spans="1:8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8</v>
      </c>
    </row>
    <row r="284" spans="1:8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8</v>
      </c>
    </row>
    <row r="285" spans="1:8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8</v>
      </c>
    </row>
    <row r="286" spans="1:8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8</v>
      </c>
    </row>
    <row r="287" spans="1:8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8</v>
      </c>
    </row>
    <row r="288" spans="1:8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8</v>
      </c>
    </row>
    <row r="289" spans="1:8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8</v>
      </c>
    </row>
    <row r="290" spans="1:8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8</v>
      </c>
    </row>
    <row r="291" spans="1:8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8</v>
      </c>
    </row>
    <row r="292" spans="1:8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8</v>
      </c>
    </row>
    <row r="293" spans="1:8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8</v>
      </c>
    </row>
    <row r="294" spans="1:8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8</v>
      </c>
    </row>
    <row r="295" spans="1:8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10</v>
      </c>
    </row>
    <row r="296" spans="1:8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9</v>
      </c>
    </row>
    <row r="297" spans="1:8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8</v>
      </c>
    </row>
    <row r="298" spans="1:8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8</v>
      </c>
    </row>
    <row r="299" spans="1:8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10</v>
      </c>
    </row>
    <row r="300" spans="1:8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8</v>
      </c>
    </row>
    <row r="301" spans="1:8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10</v>
      </c>
    </row>
    <row r="302" spans="1:8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8</v>
      </c>
    </row>
    <row r="303" spans="1:8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8</v>
      </c>
    </row>
    <row r="304" spans="1:8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8</v>
      </c>
    </row>
    <row r="305" spans="1:8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9</v>
      </c>
    </row>
    <row r="306" spans="1:8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10</v>
      </c>
    </row>
    <row r="307" spans="1:8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8</v>
      </c>
    </row>
    <row r="308" spans="1:8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8</v>
      </c>
    </row>
    <row r="309" spans="1:8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8</v>
      </c>
    </row>
    <row r="310" spans="1:8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8</v>
      </c>
    </row>
    <row r="311" spans="1:8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10</v>
      </c>
    </row>
    <row r="312" spans="1:8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9</v>
      </c>
    </row>
    <row r="313" spans="1:8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8</v>
      </c>
    </row>
    <row r="314" spans="1:8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9</v>
      </c>
    </row>
    <row r="315" spans="1:8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8</v>
      </c>
    </row>
    <row r="316" spans="1:8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8</v>
      </c>
    </row>
    <row r="317" spans="1:8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8</v>
      </c>
    </row>
    <row r="318" spans="1:8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8</v>
      </c>
    </row>
    <row r="319" spans="1:8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10</v>
      </c>
    </row>
    <row r="320" spans="1:8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9</v>
      </c>
    </row>
    <row r="321" spans="1:8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9</v>
      </c>
    </row>
    <row r="322" spans="1:8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9</v>
      </c>
    </row>
    <row r="323" spans="1:8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9</v>
      </c>
    </row>
    <row r="324" spans="1:8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9</v>
      </c>
    </row>
    <row r="325" spans="1:8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8</v>
      </c>
    </row>
    <row r="326" spans="1:8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9</v>
      </c>
    </row>
    <row r="327" spans="1:8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10</v>
      </c>
    </row>
    <row r="328" spans="1:8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10</v>
      </c>
    </row>
    <row r="329" spans="1:8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10</v>
      </c>
    </row>
    <row r="330" spans="1:8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10</v>
      </c>
    </row>
    <row r="331" spans="1:8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9</v>
      </c>
    </row>
    <row r="332" spans="1:8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10</v>
      </c>
    </row>
    <row r="333" spans="1:8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9</v>
      </c>
    </row>
    <row r="334" spans="1:8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10</v>
      </c>
    </row>
    <row r="335" spans="1:8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9</v>
      </c>
    </row>
    <row r="336" spans="1:8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9</v>
      </c>
    </row>
    <row r="337" spans="1:8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10</v>
      </c>
    </row>
    <row r="338" spans="1:8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8</v>
      </c>
    </row>
    <row r="339" spans="1:8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9</v>
      </c>
    </row>
    <row r="340" spans="1:8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8</v>
      </c>
    </row>
    <row r="341" spans="1:8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8</v>
      </c>
    </row>
    <row r="342" spans="1:8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8</v>
      </c>
    </row>
    <row r="343" spans="1:8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8</v>
      </c>
    </row>
    <row r="344" spans="1:8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8</v>
      </c>
    </row>
    <row r="345" spans="1:8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9</v>
      </c>
    </row>
    <row r="346" spans="1:8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8</v>
      </c>
    </row>
    <row r="347" spans="1:8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9</v>
      </c>
    </row>
    <row r="348" spans="1:8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9</v>
      </c>
    </row>
    <row r="349" spans="1:8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9</v>
      </c>
    </row>
    <row r="350" spans="1:8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9</v>
      </c>
    </row>
    <row r="351" spans="1:8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9</v>
      </c>
    </row>
    <row r="352" spans="1:8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8</v>
      </c>
    </row>
    <row r="353" spans="1:8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8</v>
      </c>
    </row>
    <row r="354" spans="1:8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8</v>
      </c>
    </row>
    <row r="355" spans="1:8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10</v>
      </c>
    </row>
    <row r="356" spans="1:8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10</v>
      </c>
    </row>
    <row r="357" spans="1:8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9</v>
      </c>
    </row>
    <row r="358" spans="1:8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9</v>
      </c>
    </row>
    <row r="359" spans="1:8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9</v>
      </c>
    </row>
    <row r="360" spans="1:8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9</v>
      </c>
    </row>
    <row r="361" spans="1:8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10</v>
      </c>
    </row>
    <row r="362" spans="1:8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10</v>
      </c>
    </row>
    <row r="363" spans="1:8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9</v>
      </c>
    </row>
    <row r="364" spans="1:8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9</v>
      </c>
    </row>
    <row r="365" spans="1:8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8</v>
      </c>
    </row>
    <row r="366" spans="1:8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8</v>
      </c>
    </row>
    <row r="367" spans="1:8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8</v>
      </c>
    </row>
    <row r="368" spans="1:8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8</v>
      </c>
    </row>
    <row r="369" spans="1:8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8</v>
      </c>
    </row>
    <row r="370" spans="1:8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8</v>
      </c>
    </row>
    <row r="371" spans="1:8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8</v>
      </c>
    </row>
    <row r="372" spans="1:8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8</v>
      </c>
    </row>
    <row r="373" spans="1:8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8</v>
      </c>
    </row>
    <row r="374" spans="1:8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8</v>
      </c>
    </row>
    <row r="375" spans="1:8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8</v>
      </c>
    </row>
    <row r="376" spans="1:8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8</v>
      </c>
    </row>
    <row r="377" spans="1:8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10</v>
      </c>
    </row>
    <row r="378" spans="1:8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9</v>
      </c>
    </row>
    <row r="379" spans="1:8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9</v>
      </c>
    </row>
    <row r="380" spans="1:8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8</v>
      </c>
    </row>
    <row r="381" spans="1:8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8</v>
      </c>
    </row>
    <row r="382" spans="1:8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9</v>
      </c>
    </row>
    <row r="383" spans="1:8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9</v>
      </c>
    </row>
    <row r="384" spans="1:8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9</v>
      </c>
    </row>
    <row r="385" spans="1:8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9</v>
      </c>
    </row>
    <row r="386" spans="1:8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9</v>
      </c>
    </row>
    <row r="387" spans="1:8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9</v>
      </c>
    </row>
    <row r="388" spans="1:8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8</v>
      </c>
    </row>
    <row r="389" spans="1:8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8</v>
      </c>
    </row>
    <row r="390" spans="1:8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9AD7-7E65-4861-998B-13E17A18CA4D}">
  <sheetPr>
    <tabColor theme="9" tint="-0.249977111117893"/>
  </sheetPr>
  <dimension ref="A1:B7"/>
  <sheetViews>
    <sheetView topLeftCell="A4" zoomScale="90" zoomScaleNormal="90" workbookViewId="0">
      <selection activeCell="B2" sqref="B2"/>
    </sheetView>
  </sheetViews>
  <sheetFormatPr defaultColWidth="8.734375" defaultRowHeight="21"/>
  <cols>
    <col min="1" max="1" width="19.9453125" style="1" bestFit="1" customWidth="1"/>
    <col min="2" max="2" width="17.15625" style="1" customWidth="1"/>
    <col min="3" max="16384" width="8.734375" style="1"/>
  </cols>
  <sheetData>
    <row r="1" spans="1:2">
      <c r="A1" s="1" t="s">
        <v>11</v>
      </c>
      <c r="B1" s="1" t="s">
        <v>20</v>
      </c>
    </row>
    <row r="2" spans="1:2">
      <c r="A2" s="1" t="s">
        <v>13</v>
      </c>
      <c r="B2" s="1" t="s">
        <v>4</v>
      </c>
    </row>
    <row r="4" spans="1:2">
      <c r="A4" s="1" t="str" cm="1">
        <f t="array" ref="A4:B7">_xlfn._xlws.PY(3,0,'dynamic-measures-helper'!B13,B2)</f>
        <v>origin</v>
      </c>
      <c r="B4" s="1" t="str">
        <v>weight</v>
      </c>
    </row>
    <row r="5" spans="1:2">
      <c r="A5" s="1" t="str">
        <v>usa</v>
      </c>
      <c r="B5" s="1">
        <v>3361.9317269076305</v>
      </c>
    </row>
    <row r="6" spans="1:2">
      <c r="A6" s="1" t="str">
        <v>europe</v>
      </c>
      <c r="B6" s="1">
        <v>2423.3000000000002</v>
      </c>
    </row>
    <row r="7" spans="1:2">
      <c r="A7" s="1" t="str">
        <v>japan</v>
      </c>
      <c r="B7" s="1">
        <v>2221.2278481012659</v>
      </c>
    </row>
  </sheetData>
  <dataValidations count="2">
    <dataValidation type="list" allowBlank="1" showInputMessage="1" showErrorMessage="1" sqref="B1" xr:uid="{F66F0834-851A-4323-9C8F-9F8AA36CD661}">
      <formula1>operations</formula1>
    </dataValidation>
    <dataValidation type="list" allowBlank="1" showInputMessage="1" showErrorMessage="1" sqref="B2:B3" xr:uid="{B9B9F7DC-5523-4B5B-995E-E720077D8F56}">
      <formula1>mpg_dimensions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AFB-39D1-45D1-96A3-FCB9494B62B0}">
  <sheetPr>
    <tabColor theme="9" tint="-0.249977111117893"/>
  </sheetPr>
  <dimension ref="A1:D15"/>
  <sheetViews>
    <sheetView topLeftCell="A10" zoomScale="85" zoomScaleNormal="85" workbookViewId="0">
      <selection activeCell="B15" sqref="B15"/>
    </sheetView>
  </sheetViews>
  <sheetFormatPr defaultColWidth="8.734375" defaultRowHeight="21"/>
  <cols>
    <col min="1" max="1" width="24.1015625" style="1" bestFit="1" customWidth="1"/>
    <col min="2" max="2" width="28.578125" style="1" bestFit="1" customWidth="1"/>
    <col min="3" max="3" width="3.15625" style="1" customWidth="1"/>
    <col min="4" max="4" width="21.734375" style="1" bestFit="1" customWidth="1"/>
    <col min="5" max="16384" width="8.734375" style="1"/>
  </cols>
  <sheetData>
    <row r="1" spans="1:4">
      <c r="A1" s="1" t="s">
        <v>14</v>
      </c>
      <c r="D1" s="1" t="s">
        <v>15</v>
      </c>
    </row>
    <row r="3" spans="1:4">
      <c r="A3" s="2" t="s">
        <v>16</v>
      </c>
      <c r="B3" s="2" t="s">
        <v>17</v>
      </c>
      <c r="C3" s="2"/>
      <c r="D3" s="1" t="str" cm="1">
        <f t="array" ref="D3:D9">_xlfn._xlws.PY(4,0)</f>
        <v>mpg</v>
      </c>
    </row>
    <row r="4" spans="1:4">
      <c r="A4" s="2" t="s">
        <v>18</v>
      </c>
      <c r="B4" s="2" t="s">
        <v>19</v>
      </c>
      <c r="C4" s="2"/>
      <c r="D4" s="1" t="str">
        <v>cylinders</v>
      </c>
    </row>
    <row r="5" spans="1:4">
      <c r="A5" s="2" t="s">
        <v>20</v>
      </c>
      <c r="B5" s="2" t="s">
        <v>21</v>
      </c>
      <c r="C5" s="2"/>
      <c r="D5" s="1" t="str">
        <v>displacement</v>
      </c>
    </row>
    <row r="6" spans="1:4">
      <c r="A6" s="2" t="s">
        <v>12</v>
      </c>
      <c r="B6" s="2" t="s">
        <v>22</v>
      </c>
      <c r="C6" s="2"/>
      <c r="D6" s="1" t="str">
        <v>horsepower</v>
      </c>
    </row>
    <row r="7" spans="1:4">
      <c r="A7" s="2" t="s">
        <v>23</v>
      </c>
      <c r="B7" s="2" t="s">
        <v>24</v>
      </c>
      <c r="C7" s="2"/>
      <c r="D7" s="1" t="str">
        <v>weight</v>
      </c>
    </row>
    <row r="8" spans="1:4">
      <c r="A8" s="2" t="s">
        <v>25</v>
      </c>
      <c r="B8" s="2" t="s">
        <v>26</v>
      </c>
      <c r="C8" s="2"/>
      <c r="D8" s="1" t="str">
        <v>acceleration</v>
      </c>
    </row>
    <row r="9" spans="1:4">
      <c r="A9" s="2" t="s">
        <v>27</v>
      </c>
      <c r="B9" s="2" t="s">
        <v>28</v>
      </c>
      <c r="C9" s="2"/>
      <c r="D9" s="1" t="str">
        <v>model_year</v>
      </c>
    </row>
    <row r="10" spans="1:4">
      <c r="A10" s="2" t="s">
        <v>29</v>
      </c>
      <c r="B10" s="2" t="s">
        <v>30</v>
      </c>
      <c r="C10" s="2"/>
    </row>
    <row r="11" spans="1:4">
      <c r="A11" s="2" t="s">
        <v>31</v>
      </c>
      <c r="B11" s="2" t="s">
        <v>32</v>
      </c>
      <c r="C11" s="2"/>
    </row>
    <row r="13" spans="1:4">
      <c r="A13" s="1" t="s">
        <v>33</v>
      </c>
      <c r="B13" s="1" t="str">
        <f>_xlfn.XLOOKUP('dynamic-measures'!B1, agg_methods[Operation], agg_methods[Method])</f>
        <v>mean</v>
      </c>
    </row>
    <row r="15" spans="1:4">
      <c r="A15" s="1" t="s">
        <v>34</v>
      </c>
      <c r="B15" s="1" t="str">
        <f>_xlfn.CONCAT('dynamic-measures'!B1, " of ", 'dynamic-measures'!B2, " by origin")</f>
        <v>Average of weight by origin</v>
      </c>
      <c r="D15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E5D3-F4D5-4C6B-ADE1-634FE603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power-query</vt:lpstr>
      <vt:lpstr>moving-average</vt:lpstr>
      <vt:lpstr>mpg</vt:lpstr>
      <vt:lpstr>dynamic-measures</vt:lpstr>
      <vt:lpstr>dynamic-measures-helper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2025-03-20T20:39:02Z</dcterms:created>
  <dcterms:modified xsi:type="dcterms:W3CDTF">2026-09-11T17:40:23Z</dcterms:modified>
</cp:coreProperties>
</file>