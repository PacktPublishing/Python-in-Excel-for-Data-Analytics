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05_statistical_testing_inference\"/>
    </mc:Choice>
  </mc:AlternateContent>
  <xr:revisionPtr revIDLastSave="0" documentId="13_ncr:1_{EC1E1D74-DF22-4CDB-83B2-53B0FDE77034}" xr6:coauthVersionLast="47" xr6:coauthVersionMax="47" xr10:uidLastSave="{00000000-0000-0000-0000-000000000000}"/>
  <bookViews>
    <workbookView xWindow="-93" yWindow="-93" windowWidth="16826" windowHeight="11280" activeTab="1" xr2:uid="{00000000-000D-0000-FFFF-FFFF00000000}"/>
  </bookViews>
  <sheets>
    <sheet name="data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K1" i="1" s="1"/>
  <c r="A1" i="2" s="1" a="1"/>
  <c r="A1" i="2" s="1"/>
  <c r="A8" i="2" s="1" a="1"/>
  <c r="A8" i="2" s="1"/>
  <c r="A12" i="2" s="1" a="1"/>
  <c r="A12" i="2" s="1"/>
  <c r="A14" i="2" l="1" a="1"/>
  <c r="A14" i="2" s="1"/>
  <c r="A17" i="2" s="1" a="1"/>
  <c r="A17" i="2" s="1"/>
  <c r="A23" i="2" s="1" a="1"/>
  <c r="A23" i="2" s="1"/>
  <c r="A34" i="2" s="1" a="1"/>
  <c r="A34" i="2" s="1"/>
  <c r="A42" i="2" s="1" a="1"/>
  <c r="A42" i="2" s="1"/>
  <c r="A47" i="2" s="1" a="1"/>
  <c r="A47" i="2" s="1"/>
  <c r="A51" i="2" l="1" a="1"/>
  <c r="A51" i="2" s="1"/>
  <c r="A53" i="2" s="1" a="1"/>
  <c r="A53" i="2" s="1"/>
  <c r="A57" i="2" s="1" a="1"/>
  <c r="A57" i="2" s="1"/>
  <c r="A71" i="2" s="1" a="1"/>
  <c r="A71" i="2" s="1"/>
  <c r="A79" i="2" a="1"/>
  <c r="A79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scipy import stats
mpg_df = xl(%P2%, headers=True)</code>
    </pythonScript>
    <pythonScript>
      <code>mpg_df.groupby('origin')['mpg'].describe()</code>
    </pythonScript>
    <pythonScript>
      <code>japan = mpg_df[mpg_df['origin'] == 'japan']['mpg']
europe = mpg_df[mpg_df['origin'] == 'europe']['mpg']
t_stat, p_value = stats.ttest_ind(japan, europe)
pd.DataFrame({
    'Test statistic': [round(t_stat, 4)],
    'p-value': [round(p_value, 4)],
    'Asia mean': [round(japan.mean(), 2)],
    'Europe mean': [round(europe.mean(), 2)],
    'Difference': [round(japan.mean() - europe.mean(), 2)]
})</code>
    </pythonScript>
    <pythonScript>
      <code>n_japan = len(japan)
n_europe = len(europe)
pooled_std = np.sqrt(
    ((n_japan - 1) * japan.std()**2 + (n_europe - 1) * europe.std()**2)
    / (n_japan + n_europe - 2))
cohens_d = (japan.mean() - europe.mean()) / pooled_std
f"Cohen's d (effect size): {cohens_d:.4f}"</code>
    </pythonScript>
    <pythonScript>
      <code>usa = mpg_df[mpg_df['origin'] == 'usa']['mpg']
f_stat, p_value = stats.f_oneway(usa, europe, japan)
pd.DataFrame({
    'F-statistic': [round(f_stat, 2)],
    'p-value': [str(round(p_value, 2))],
    'USA mean': [round(usa.mean(), 2)],
    'Europe mean': [round(europe.mean(), 2)],
    'Japan mean': [round(japan.mean(), 2)]
})</code>
    </pythonScript>
    <pythonScript>
      <code>from statsmodels.stats.multicomp import pairwise_tukeyhsd
tukey = pairwise_tukeyhsd(mpg_df['mpg'], mpg_df['origin'], alpha=0.05)
tukey_df = pd.DataFrame(
    data=tukey._results_table.data[1:],
    columns=tukey._results_table.data[0])
tukey_df</code>
    </pythonScript>
    <pythonScript>
      <code>mpg_df['engine_size'] = pd.cut(
    mpg_df['cylinders'],
    bins=[0, 4, 6, 8],
    labels=['Small (3-4)', 'Medium (5-6)', 'Large (8)'])
mpg_df[['origin', 'cylinders', 'engine_size']].value_counts()</code>
    </pythonScript>
    <pythonScript>
      <code>ct = pd.crosstab(mpg_df['origin'], mpg_df['engine_size'])
ct</code>
    </pythonScript>
    <pythonScript>
      <code>chi2, p_value, dof, expected = stats.chi2_contingency(ct)
pd.DataFrame({
    'Chi-square statistic': [round(chi2, 2)],
    'p-value': [str(round(p_value, 4))],
    'Degrees of freedom': [dof]
})</code>
    </pythonScript>
    <pythonScript>
      <code xml:space="preserve">n = ct.sum().sum() 
k = min(ct.shape) - 1 
cramers_v = np.sqrt(chi2 / (n * k)) 
f"Cramér's V: {cramers_v:.2f}" </code>
    </pythonScript>
    <pythonScript>
      <code>np.random.seed(42)
n_resamples = 1000
boot_means = []
for i in range(n_resamples):
    resample = np.random.choice(japan.values, size=len(japan), replace=True)
    resample_mean = np.mean(resample)
    boot_means.append(resample_mean)</code>
    </pythonScript>
    <pythonScript>
      <code>lower = np.percentile(boot_means, 2.5)
upper = np.percentile(boot_means, 97.5)
pd.DataFrame({
    'Original mean': [round(japan.mean(), 2)],
    '95%% CI lower': [round(lower, 2)],
    '95%% CI upper': [round(upper, 2)],
    'CI width': [round(upper - lower, 2)]
})</code>
    </pythonScript>
    <pythonScript>
      <code>plt.figure(figsize=(8, 5))
sns.histplot(
    boot_means,
    bins=30,
    color="steelblue",
    edgecolor="white",
    alpha=0.7
)
mean_val = japan.mean()
plt.axvline(
    lower,
    color="red",
    linestyle="--",
    linewidth=1.5,
    label=f"95%% CI lower ({lower:.2f})"
)
plt.axvline(
    upper,
    color="red",
    linestyle="--",
    linewidth=1.5,
    label=f"95%% CI upper ({upper:.2f})"
)
plt.axvline(
    mean_val,
    color="black",
    linestyle="-",
    linewidth=2,
    label=f"Sample mean ({mean_val:.2f})"
)
plt.xlabel("Mean MPG")
plt.ylabel("Frequency")
plt.title("Bootstrap Distribution of Mean MPG (Japanese Cars)")
plt.legend(frameon=False)
plt.tight_layout()</code>
    </pythonScript>
    <pythonScript>
      <code>np.random.seed(42)
boot_japan = []
boot_europe = []
for i in range(n_resamples):
    japan_resample = np.random.choice(japan.values, size=len(japan), replace=True)
    boot_japan.append(np.mean(japan_resample))
    europe_resample = np.random.choice(europe.values, size=len(europe), replace=True)
    boot_europe.append(np.mean(europe_resample))
japan_ci = np.percentile(boot_japan, [2.5, 97.5])
europe_ci = np.percentile(boot_europe, [2.5, 97.5])
results_df = pd.DataFrame({
    "Group": ["Japan", "Europe"],
    "Mean": [np.mean(japan), np.mean(europe)],
    "CI Lower (2.5%%)": [japan_ci[0], europe_ci[0]],
    "CI Upper (97.5%%)": [japan_ci[1], europe_ci[1]]
})</code>
    </pythonScript>
    <pythonScript>
      <code>plt.figure(figsize=(8, 5))
sns.histplot(boot_japan, bins=30, alpha=0.5, color='steelblue',
             label='Japan', edgecolor='white')
sns.histplot(boot_europe, bins=30, alpha=0.5, color='coral',
             label='Europe', edgecolor='white')
plt.axvline(japan_ci[0], color='steelblue', linestyle='--', linewidth=1.5)
plt.axvline(japan_ci[1], color='steelblue', linestyle='--', linewidth=1.5)
plt.axvline(europe_ci[0], color='coral', linestyle='--', linewidth=1.5)
plt.axvline(europe_ci[1], color='coral', linestyle='--', linewidth=1.5)
plt.xlabel('Mean MPG')
plt.ylabel('Frequency')
plt.title('Bootstrap Distributions: Japan vs. Europe')
plt.legend()</code>
    </pythonScript>
  </pythonScripts>
</python>
</file>

<file path=xl/sharedStrings.xml><?xml version="1.0" encoding="utf-8"?>
<sst xmlns="http://schemas.openxmlformats.org/spreadsheetml/2006/main" count="805" uniqueCount="317">
  <si>
    <t>mpg</t>
  </si>
  <si>
    <t>cylinders</t>
  </si>
  <si>
    <t>displacement</t>
  </si>
  <si>
    <t>horsepower</t>
  </si>
  <si>
    <t>weight</t>
  </si>
  <si>
    <t>acceleration</t>
  </si>
  <si>
    <t>origin</t>
  </si>
  <si>
    <t>model_year</t>
  </si>
  <si>
    <t>name</t>
  </si>
  <si>
    <t>usa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</si>
  <si>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</si>
  <si>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</si>
  <si>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</si>
  <si>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</si>
  <si>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</si>
  <si>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</si>
  <si>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</si>
  <si>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</si>
  <si>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</si>
  <si>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</si>
  <si>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</si>
  <si>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</si>
  <si>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</si>
  <si>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</si>
  <si>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japan</t>
  </si>
  <si>
    <t>toyota corona mark ii</t>
  </si>
  <si>
    <t>plymouth duster</t>
  </si>
  <si>
    <t>amc hornet</t>
  </si>
  <si>
    <t>ford maverick</t>
  </si>
  <si>
    <t>datsun pl510</t>
  </si>
  <si>
    <t>europe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</si>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</sst>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694267</xdr:colOff>
      <xdr:row>55</xdr:row>
      <xdr:rowOff>135467</xdr:rowOff>
    </xdr:from>
    <xdr:to>
      <xdr:col>3</xdr:col>
      <xdr:colOff>609601</xdr:colOff>
      <xdr:row>67</xdr:row>
      <xdr:rowOff>154617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07EEE737-EEEA-181E-0103-9F96D71613E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tats!A57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267" y="10147300"/>
          <a:ext cx="3272367" cy="2203550"/>
        </a:xfrm>
        <a:prstGeom prst="rect">
          <a:avLst/>
        </a:prstGeom>
      </xdr:spPr>
    </xdr:pic>
    <xdr:clientData/>
  </xdr:twoCellAnchor>
  <xdr:twoCellAnchor editAs="oneCell">
    <xdr:from>
      <xdr:col>1</xdr:col>
      <xdr:colOff>21168</xdr:colOff>
      <xdr:row>77</xdr:row>
      <xdr:rowOff>118533</xdr:rowOff>
    </xdr:from>
    <xdr:to>
      <xdr:col>4</xdr:col>
      <xdr:colOff>441355</xdr:colOff>
      <xdr:row>91</xdr:row>
      <xdr:rowOff>127001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51B270E9-C7E7-1B39-4EB7-2A3AB66E1F1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tats!A79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6135" y="14135100"/>
          <a:ext cx="3802620" cy="255693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0">
    <v t="s"/>
    <v t="s">mpg</v>
    <v t="s">cylinders</v>
    <v t="s">displacement</v>
    <v t="s">horsepower</v>
    <v t="s">weight</v>
    <v t="s">acceleration</v>
    <v t="s">model_year</v>
    <v t="s">origin</v>
    <v t="s">name</v>
    <v>0</v>
    <v>18</v>
    <v>8</v>
    <v>307</v>
    <v>130</v>
    <v>3504</v>
    <v>12</v>
    <v>70</v>
    <v t="s">usa</v>
    <v t="s">chevrolet chevelle malibu</v>
    <v>1</v>
    <v>15</v>
    <v>8</v>
    <v>350</v>
    <v>165</v>
    <v>3693</v>
    <v>11.5</v>
    <v>70</v>
    <v t="s">usa</v>
    <v t="s">buick skylark 320</v>
    <v>2</v>
    <v>18</v>
    <v>8</v>
    <v>318</v>
    <v>150</v>
    <v>3436</v>
    <v>11</v>
    <v>70</v>
    <v t="s">usa</v>
    <v t="s">plymouth satellite</v>
    <v>3</v>
    <v>16</v>
    <v>8</v>
    <v>304</v>
    <v>150</v>
    <v>3433</v>
    <v>12</v>
    <v>70</v>
    <v t="s">usa</v>
    <v t="s">amc rebel sst</v>
    <v>4</v>
    <v>17</v>
    <v>8</v>
    <v>302</v>
    <v>140</v>
    <v>3449</v>
    <v>10.5</v>
    <v>70</v>
    <v t="s">usa</v>
    <v t="s">ford torino</v>
    <v t="s">...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 t="s">ford mustang gl</v>
    <v>394</v>
    <v>44</v>
    <v>4</v>
    <v>97</v>
    <v>52</v>
    <v>2130</v>
    <v>24.6</v>
    <v>82</v>
    <v t="s">europe</v>
    <v t="s">vw pickup</v>
    <v>395</v>
    <v>32</v>
    <v>4</v>
    <v>135</v>
    <v>84</v>
    <v>2295</v>
    <v>11.6</v>
    <v>82</v>
    <v t="s">usa</v>
    <v t="s">dodge rampage</v>
    <v>396</v>
    <v>28</v>
    <v>4</v>
    <v>120</v>
    <v>79</v>
    <v>2625</v>
    <v>18.600000000000001</v>
    <v>82</v>
    <v t="s">usa</v>
    <v t="s">ford ranger</v>
    <v>397</v>
    <v>31</v>
    <v>4</v>
    <v>119</v>
    <v>82</v>
    <v>2720</v>
    <v>19.399999999999999</v>
    <v>82</v>
    <v t="s">usa</v>
    <v t="s">chevy s-10</v>
  </a>
</arrayData>
</file>

<file path=xl/richData/rdrichvalue.xml><?xml version="1.0" encoding="utf-8"?>
<rvData xmlns="http://schemas.microsoft.com/office/spreadsheetml/2017/richdata" count="7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  <rv s="3">
    <fb>0</fb>
    <v>3</v>
  </rv>
  <rv s="2">
    <fb>0</fb>
    <v>&lt;class 'NoneType'&gt;</v>
    <v>NoneType</v>
    <v>None</v>
    <v>3</v>
    <v>2</v>
  </rv>
  <rv s="4">
    <v>0</v>
    <v>9</v>
    <v>Image generated by Python</v>
  </rv>
  <rv s="4">
    <v>1</v>
    <v>9</v>
    <v>Image generated by Python</v>
  </rv>
</rvData>
</file>

<file path=xl/richData/rdrichvaluestructure.xml><?xml version="1.0" encoding="utf-8"?>
<rvStructures xmlns="http://schemas.microsoft.com/office/spreadsheetml/2017/richdata" count="5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formattednumber">
    <k n="_Format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4">
    <spb s="0">
      <v>398</v>
      <v>9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  <spb s="3">
      <v>1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B42E4-C9E2-4294-8E04-0EFC324E0515}" name="mpg" displayName="mpg" ref="A1:I399" totalsRowShown="0">
  <autoFilter ref="A1:I399" xr:uid="{6B7B42E4-C9E2-4294-8E04-0EFC324E0515}"/>
  <tableColumns count="9">
    <tableColumn id="1" xr3:uid="{5D422A40-EF85-47C2-8AC1-C9D417ECA785}" name="mpg"/>
    <tableColumn id="2" xr3:uid="{5F9B69BC-5F9D-44F9-8570-FD4AAF6D60E6}" name="cylinders"/>
    <tableColumn id="3" xr3:uid="{16896D87-7F44-4DC7-BB7F-916662D45FE1}" name="displacement"/>
    <tableColumn id="4" xr3:uid="{FE40F50A-D7C6-49EB-A7E2-A96DB079EB22}" name="horsepower"/>
    <tableColumn id="5" xr3:uid="{8056D024-2E53-4B42-BC50-CA09141515AB}" name="weight"/>
    <tableColumn id="6" xr3:uid="{EEA1780E-66D7-4DCC-9CBF-F4337E38AF59}" name="acceleration"/>
    <tableColumn id="7" xr3:uid="{BF123EDE-301F-485C-B61A-7D4DB40E27C3}" name="model_year"/>
    <tableColumn id="8" xr3:uid="{E2DAA4D8-C7CB-44B8-86E7-BB466D37EC27}" name="origin"/>
    <tableColumn id="9" xr3:uid="{C2EB9D76-285A-468F-8EAB-B7249232E17D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9"/>
  <sheetViews>
    <sheetView topLeftCell="E1" workbookViewId="0">
      <selection activeCell="H11" sqref="H11"/>
    </sheetView>
  </sheetViews>
  <sheetFormatPr defaultRowHeight="14.35" x14ac:dyDescent="0.5"/>
  <cols>
    <col min="2" max="2" width="9.8203125" customWidth="1"/>
    <col min="3" max="3" width="13.41015625" customWidth="1"/>
    <col min="4" max="4" width="12.41015625" customWidth="1"/>
    <col min="6" max="6" width="12.46875" customWidth="1"/>
    <col min="7" max="7" width="12.234375" customWidth="1"/>
    <col min="9" max="9" width="30.703125" bestFit="1" customWidth="1"/>
  </cols>
  <sheetData>
    <row r="1" spans="1:1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K1" t="e" cm="1" vm="1">
        <f t="array" ref="K1">_xlfn._xlws.PY(0,1,mpg[#All])</f>
        <v>#VALUE!</v>
      </c>
    </row>
    <row r="2" spans="1:11" x14ac:dyDescent="0.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9</v>
      </c>
      <c r="I2" t="s">
        <v>10</v>
      </c>
    </row>
    <row r="3" spans="1:11" x14ac:dyDescent="0.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9</v>
      </c>
      <c r="I3" t="s">
        <v>11</v>
      </c>
    </row>
    <row r="4" spans="1:11" x14ac:dyDescent="0.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9</v>
      </c>
      <c r="I4" t="s">
        <v>12</v>
      </c>
    </row>
    <row r="5" spans="1:11" x14ac:dyDescent="0.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9</v>
      </c>
      <c r="I5" t="s">
        <v>13</v>
      </c>
    </row>
    <row r="6" spans="1:11" x14ac:dyDescent="0.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9</v>
      </c>
      <c r="I6" t="s">
        <v>14</v>
      </c>
    </row>
    <row r="7" spans="1:11" x14ac:dyDescent="0.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9</v>
      </c>
      <c r="I7" t="s">
        <v>15</v>
      </c>
    </row>
    <row r="8" spans="1:11" x14ac:dyDescent="0.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9</v>
      </c>
      <c r="I8" t="s">
        <v>16</v>
      </c>
    </row>
    <row r="9" spans="1:11" x14ac:dyDescent="0.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9</v>
      </c>
      <c r="I9" t="s">
        <v>17</v>
      </c>
    </row>
    <row r="10" spans="1:11" x14ac:dyDescent="0.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9</v>
      </c>
      <c r="I10" t="s">
        <v>18</v>
      </c>
    </row>
    <row r="11" spans="1:11" x14ac:dyDescent="0.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9</v>
      </c>
      <c r="I11" t="s">
        <v>19</v>
      </c>
    </row>
    <row r="12" spans="1:11" x14ac:dyDescent="0.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9</v>
      </c>
      <c r="I12" t="s">
        <v>20</v>
      </c>
    </row>
    <row r="13" spans="1:11" x14ac:dyDescent="0.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9</v>
      </c>
      <c r="I13" t="s">
        <v>21</v>
      </c>
    </row>
    <row r="14" spans="1:11" x14ac:dyDescent="0.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9</v>
      </c>
      <c r="I14" t="s">
        <v>22</v>
      </c>
    </row>
    <row r="15" spans="1:11" x14ac:dyDescent="0.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9</v>
      </c>
      <c r="I15" t="s">
        <v>23</v>
      </c>
    </row>
    <row r="16" spans="1:11" x14ac:dyDescent="0.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24</v>
      </c>
      <c r="I16" t="s">
        <v>25</v>
      </c>
    </row>
    <row r="17" spans="1:9" x14ac:dyDescent="0.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9</v>
      </c>
      <c r="I17" t="s">
        <v>26</v>
      </c>
    </row>
    <row r="18" spans="1:9" x14ac:dyDescent="0.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9</v>
      </c>
      <c r="I18" t="s">
        <v>27</v>
      </c>
    </row>
    <row r="19" spans="1:9" x14ac:dyDescent="0.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9</v>
      </c>
      <c r="I19" t="s">
        <v>28</v>
      </c>
    </row>
    <row r="20" spans="1:9" x14ac:dyDescent="0.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24</v>
      </c>
      <c r="I20" t="s">
        <v>29</v>
      </c>
    </row>
    <row r="21" spans="1:9" x14ac:dyDescent="0.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30</v>
      </c>
      <c r="I21" t="s">
        <v>31</v>
      </c>
    </row>
    <row r="22" spans="1:9" x14ac:dyDescent="0.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30</v>
      </c>
      <c r="I22" t="s">
        <v>32</v>
      </c>
    </row>
    <row r="23" spans="1:9" x14ac:dyDescent="0.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30</v>
      </c>
      <c r="I23" t="s">
        <v>33</v>
      </c>
    </row>
    <row r="24" spans="1:9" x14ac:dyDescent="0.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30</v>
      </c>
      <c r="I24" t="s">
        <v>34</v>
      </c>
    </row>
    <row r="25" spans="1:9" x14ac:dyDescent="0.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30</v>
      </c>
      <c r="I25" t="s">
        <v>35</v>
      </c>
    </row>
    <row r="26" spans="1:9" x14ac:dyDescent="0.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9</v>
      </c>
      <c r="I26" t="s">
        <v>36</v>
      </c>
    </row>
    <row r="27" spans="1:9" x14ac:dyDescent="0.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9</v>
      </c>
      <c r="I27" t="s">
        <v>37</v>
      </c>
    </row>
    <row r="28" spans="1:9" x14ac:dyDescent="0.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9</v>
      </c>
      <c r="I28" t="s">
        <v>38</v>
      </c>
    </row>
    <row r="29" spans="1:9" x14ac:dyDescent="0.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9</v>
      </c>
      <c r="I29" t="s">
        <v>39</v>
      </c>
    </row>
    <row r="30" spans="1:9" x14ac:dyDescent="0.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9</v>
      </c>
      <c r="I30" t="s">
        <v>40</v>
      </c>
    </row>
    <row r="31" spans="1:9" x14ac:dyDescent="0.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24</v>
      </c>
      <c r="I31" t="s">
        <v>29</v>
      </c>
    </row>
    <row r="32" spans="1:9" x14ac:dyDescent="0.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9</v>
      </c>
      <c r="I32" t="s">
        <v>41</v>
      </c>
    </row>
    <row r="33" spans="1:9" x14ac:dyDescent="0.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24</v>
      </c>
      <c r="I33" t="s">
        <v>42</v>
      </c>
    </row>
    <row r="34" spans="1:9" x14ac:dyDescent="0.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9</v>
      </c>
      <c r="I34" t="s">
        <v>43</v>
      </c>
    </row>
    <row r="35" spans="1:9" x14ac:dyDescent="0.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9</v>
      </c>
      <c r="I35" t="s">
        <v>36</v>
      </c>
    </row>
    <row r="36" spans="1:9" x14ac:dyDescent="0.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9</v>
      </c>
      <c r="I36" t="s">
        <v>44</v>
      </c>
    </row>
    <row r="37" spans="1:9" x14ac:dyDescent="0.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9</v>
      </c>
      <c r="I37" t="s">
        <v>10</v>
      </c>
    </row>
    <row r="38" spans="1:9" x14ac:dyDescent="0.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9</v>
      </c>
      <c r="I38" t="s">
        <v>45</v>
      </c>
    </row>
    <row r="39" spans="1:9" x14ac:dyDescent="0.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9</v>
      </c>
      <c r="I39" t="s">
        <v>46</v>
      </c>
    </row>
    <row r="40" spans="1:9" x14ac:dyDescent="0.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9</v>
      </c>
      <c r="I40" t="s">
        <v>16</v>
      </c>
    </row>
    <row r="41" spans="1:9" x14ac:dyDescent="0.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9</v>
      </c>
      <c r="I41" t="s">
        <v>47</v>
      </c>
    </row>
    <row r="42" spans="1:9" x14ac:dyDescent="0.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9</v>
      </c>
      <c r="I42" t="s">
        <v>15</v>
      </c>
    </row>
    <row r="43" spans="1:9" x14ac:dyDescent="0.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9</v>
      </c>
      <c r="I43" t="s">
        <v>17</v>
      </c>
    </row>
    <row r="44" spans="1:9" x14ac:dyDescent="0.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9</v>
      </c>
      <c r="I44" t="s">
        <v>48</v>
      </c>
    </row>
    <row r="45" spans="1:9" x14ac:dyDescent="0.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9</v>
      </c>
      <c r="I45" t="s">
        <v>49</v>
      </c>
    </row>
    <row r="46" spans="1:9" x14ac:dyDescent="0.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9</v>
      </c>
      <c r="I46" t="s">
        <v>50</v>
      </c>
    </row>
    <row r="47" spans="1:9" x14ac:dyDescent="0.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9</v>
      </c>
      <c r="I47" t="s">
        <v>51</v>
      </c>
    </row>
    <row r="48" spans="1:9" x14ac:dyDescent="0.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9</v>
      </c>
      <c r="I48" t="s">
        <v>52</v>
      </c>
    </row>
    <row r="49" spans="1:9" x14ac:dyDescent="0.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9</v>
      </c>
      <c r="I49" t="s">
        <v>53</v>
      </c>
    </row>
    <row r="50" spans="1:9" x14ac:dyDescent="0.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9</v>
      </c>
      <c r="I50" t="s">
        <v>54</v>
      </c>
    </row>
    <row r="51" spans="1:9" x14ac:dyDescent="0.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9</v>
      </c>
      <c r="I51" t="s">
        <v>55</v>
      </c>
    </row>
    <row r="52" spans="1:9" x14ac:dyDescent="0.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30</v>
      </c>
      <c r="I52" t="s">
        <v>56</v>
      </c>
    </row>
    <row r="53" spans="1:9" x14ac:dyDescent="0.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30</v>
      </c>
      <c r="I53" t="s">
        <v>57</v>
      </c>
    </row>
    <row r="54" spans="1:9" x14ac:dyDescent="0.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30</v>
      </c>
      <c r="I54" t="s">
        <v>58</v>
      </c>
    </row>
    <row r="55" spans="1:9" x14ac:dyDescent="0.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24</v>
      </c>
      <c r="I55" t="s">
        <v>59</v>
      </c>
    </row>
    <row r="56" spans="1:9" x14ac:dyDescent="0.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24</v>
      </c>
      <c r="I56" t="s">
        <v>60</v>
      </c>
    </row>
    <row r="57" spans="1:9" x14ac:dyDescent="0.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30</v>
      </c>
      <c r="I57" t="s">
        <v>61</v>
      </c>
    </row>
    <row r="58" spans="1:9" x14ac:dyDescent="0.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9</v>
      </c>
      <c r="I58" t="s">
        <v>62</v>
      </c>
    </row>
    <row r="59" spans="1:9" x14ac:dyDescent="0.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24</v>
      </c>
      <c r="I59" t="s">
        <v>63</v>
      </c>
    </row>
    <row r="60" spans="1:9" x14ac:dyDescent="0.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9</v>
      </c>
      <c r="I60" t="s">
        <v>64</v>
      </c>
    </row>
    <row r="61" spans="1:9" x14ac:dyDescent="0.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30</v>
      </c>
      <c r="I61" t="s">
        <v>65</v>
      </c>
    </row>
    <row r="62" spans="1:9" x14ac:dyDescent="0.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9</v>
      </c>
      <c r="I62" t="s">
        <v>66</v>
      </c>
    </row>
    <row r="63" spans="1:9" x14ac:dyDescent="0.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9</v>
      </c>
      <c r="I63" t="s">
        <v>67</v>
      </c>
    </row>
    <row r="64" spans="1:9" x14ac:dyDescent="0.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9</v>
      </c>
      <c r="I64" t="s">
        <v>16</v>
      </c>
    </row>
    <row r="65" spans="1:9" x14ac:dyDescent="0.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9</v>
      </c>
      <c r="I65" t="s">
        <v>18</v>
      </c>
    </row>
    <row r="66" spans="1:9" x14ac:dyDescent="0.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9</v>
      </c>
      <c r="I66" t="s">
        <v>17</v>
      </c>
    </row>
    <row r="67" spans="1:9" x14ac:dyDescent="0.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9</v>
      </c>
      <c r="I67" t="s">
        <v>15</v>
      </c>
    </row>
    <row r="68" spans="1:9" x14ac:dyDescent="0.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9</v>
      </c>
      <c r="I68" t="s">
        <v>68</v>
      </c>
    </row>
    <row r="69" spans="1:9" x14ac:dyDescent="0.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9</v>
      </c>
      <c r="I69" t="s">
        <v>69</v>
      </c>
    </row>
    <row r="70" spans="1:9" x14ac:dyDescent="0.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9</v>
      </c>
      <c r="I70" t="s">
        <v>70</v>
      </c>
    </row>
    <row r="71" spans="1:9" x14ac:dyDescent="0.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9</v>
      </c>
      <c r="I71" t="s">
        <v>71</v>
      </c>
    </row>
    <row r="72" spans="1:9" x14ac:dyDescent="0.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9</v>
      </c>
      <c r="I72" t="s">
        <v>72</v>
      </c>
    </row>
    <row r="73" spans="1:9" x14ac:dyDescent="0.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24</v>
      </c>
      <c r="I73" t="s">
        <v>73</v>
      </c>
    </row>
    <row r="74" spans="1:9" x14ac:dyDescent="0.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9</v>
      </c>
      <c r="I74" t="s">
        <v>74</v>
      </c>
    </row>
    <row r="75" spans="1:9" x14ac:dyDescent="0.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9</v>
      </c>
      <c r="I75" t="s">
        <v>75</v>
      </c>
    </row>
    <row r="76" spans="1:9" x14ac:dyDescent="0.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9</v>
      </c>
      <c r="I76" t="s">
        <v>76</v>
      </c>
    </row>
    <row r="77" spans="1:9" x14ac:dyDescent="0.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9</v>
      </c>
      <c r="I77" t="s">
        <v>77</v>
      </c>
    </row>
    <row r="78" spans="1:9" x14ac:dyDescent="0.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30</v>
      </c>
      <c r="I78" t="s">
        <v>78</v>
      </c>
    </row>
    <row r="79" spans="1:9" x14ac:dyDescent="0.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30</v>
      </c>
      <c r="I79" t="s">
        <v>79</v>
      </c>
    </row>
    <row r="80" spans="1:9" x14ac:dyDescent="0.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30</v>
      </c>
      <c r="I80" t="s">
        <v>80</v>
      </c>
    </row>
    <row r="81" spans="1:9" x14ac:dyDescent="0.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30</v>
      </c>
      <c r="I81" t="s">
        <v>81</v>
      </c>
    </row>
    <row r="82" spans="1:9" x14ac:dyDescent="0.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9</v>
      </c>
      <c r="I82" t="s">
        <v>82</v>
      </c>
    </row>
    <row r="83" spans="1:9" x14ac:dyDescent="0.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24</v>
      </c>
      <c r="I83" t="s">
        <v>83</v>
      </c>
    </row>
    <row r="84" spans="1:9" x14ac:dyDescent="0.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24</v>
      </c>
      <c r="I84" t="s">
        <v>84</v>
      </c>
    </row>
    <row r="85" spans="1:9" x14ac:dyDescent="0.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9</v>
      </c>
      <c r="I85" t="s">
        <v>85</v>
      </c>
    </row>
    <row r="86" spans="1:9" x14ac:dyDescent="0.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24</v>
      </c>
      <c r="I86" t="s">
        <v>86</v>
      </c>
    </row>
    <row r="87" spans="1:9" x14ac:dyDescent="0.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9</v>
      </c>
      <c r="I87" t="s">
        <v>87</v>
      </c>
    </row>
    <row r="88" spans="1:9" x14ac:dyDescent="0.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9</v>
      </c>
      <c r="I88" t="s">
        <v>46</v>
      </c>
    </row>
    <row r="89" spans="1:9" x14ac:dyDescent="0.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9</v>
      </c>
      <c r="I89" t="s">
        <v>88</v>
      </c>
    </row>
    <row r="90" spans="1:9" x14ac:dyDescent="0.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9</v>
      </c>
      <c r="I90" t="s">
        <v>89</v>
      </c>
    </row>
    <row r="91" spans="1:9" x14ac:dyDescent="0.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9</v>
      </c>
      <c r="I91" t="s">
        <v>90</v>
      </c>
    </row>
    <row r="92" spans="1:9" x14ac:dyDescent="0.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9</v>
      </c>
      <c r="I92" t="s">
        <v>91</v>
      </c>
    </row>
    <row r="93" spans="1:9" x14ac:dyDescent="0.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9</v>
      </c>
      <c r="I93" t="s">
        <v>92</v>
      </c>
    </row>
    <row r="94" spans="1:9" x14ac:dyDescent="0.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9</v>
      </c>
      <c r="I94" t="s">
        <v>93</v>
      </c>
    </row>
    <row r="95" spans="1:9" x14ac:dyDescent="0.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9</v>
      </c>
      <c r="I95" t="s">
        <v>94</v>
      </c>
    </row>
    <row r="96" spans="1:9" x14ac:dyDescent="0.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9</v>
      </c>
      <c r="I96" t="s">
        <v>95</v>
      </c>
    </row>
    <row r="97" spans="1:9" x14ac:dyDescent="0.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9</v>
      </c>
      <c r="I97" t="s">
        <v>96</v>
      </c>
    </row>
    <row r="98" spans="1:9" x14ac:dyDescent="0.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9</v>
      </c>
      <c r="I98" t="s">
        <v>97</v>
      </c>
    </row>
    <row r="99" spans="1:9" x14ac:dyDescent="0.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9</v>
      </c>
      <c r="I99" t="s">
        <v>98</v>
      </c>
    </row>
    <row r="100" spans="1:9" x14ac:dyDescent="0.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9</v>
      </c>
      <c r="I100" t="s">
        <v>99</v>
      </c>
    </row>
    <row r="101" spans="1:9" x14ac:dyDescent="0.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9</v>
      </c>
      <c r="I101" t="s">
        <v>27</v>
      </c>
    </row>
    <row r="102" spans="1:9" x14ac:dyDescent="0.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9</v>
      </c>
      <c r="I102" t="s">
        <v>28</v>
      </c>
    </row>
    <row r="103" spans="1:9" x14ac:dyDescent="0.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9</v>
      </c>
      <c r="I103" t="s">
        <v>26</v>
      </c>
    </row>
    <row r="104" spans="1:9" x14ac:dyDescent="0.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30</v>
      </c>
      <c r="I104" t="s">
        <v>100</v>
      </c>
    </row>
    <row r="105" spans="1:9" x14ac:dyDescent="0.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9</v>
      </c>
      <c r="I105" t="s">
        <v>16</v>
      </c>
    </row>
    <row r="106" spans="1:9" x14ac:dyDescent="0.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9</v>
      </c>
      <c r="I106" t="s">
        <v>101</v>
      </c>
    </row>
    <row r="107" spans="1:9" x14ac:dyDescent="0.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9</v>
      </c>
      <c r="I107" t="s">
        <v>102</v>
      </c>
    </row>
    <row r="108" spans="1:9" x14ac:dyDescent="0.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9</v>
      </c>
      <c r="I108" t="s">
        <v>103</v>
      </c>
    </row>
    <row r="109" spans="1:9" x14ac:dyDescent="0.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9</v>
      </c>
      <c r="I109" t="s">
        <v>36</v>
      </c>
    </row>
    <row r="110" spans="1:9" x14ac:dyDescent="0.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24</v>
      </c>
      <c r="I110" t="s">
        <v>104</v>
      </c>
    </row>
    <row r="111" spans="1:9" x14ac:dyDescent="0.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9</v>
      </c>
      <c r="I111" t="s">
        <v>66</v>
      </c>
    </row>
    <row r="112" spans="1:9" x14ac:dyDescent="0.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24</v>
      </c>
      <c r="I112" t="s">
        <v>105</v>
      </c>
    </row>
    <row r="113" spans="1:9" x14ac:dyDescent="0.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24</v>
      </c>
      <c r="I113" t="s">
        <v>106</v>
      </c>
    </row>
    <row r="114" spans="1:9" x14ac:dyDescent="0.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9</v>
      </c>
      <c r="I114" t="s">
        <v>43</v>
      </c>
    </row>
    <row r="115" spans="1:9" x14ac:dyDescent="0.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9</v>
      </c>
      <c r="I115" t="s">
        <v>107</v>
      </c>
    </row>
    <row r="116" spans="1:9" x14ac:dyDescent="0.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30</v>
      </c>
      <c r="I116" t="s">
        <v>108</v>
      </c>
    </row>
    <row r="117" spans="1:9" x14ac:dyDescent="0.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9</v>
      </c>
      <c r="I117" t="s">
        <v>109</v>
      </c>
    </row>
    <row r="118" spans="1:9" x14ac:dyDescent="0.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9</v>
      </c>
      <c r="I118" t="s">
        <v>110</v>
      </c>
    </row>
    <row r="119" spans="1:9" x14ac:dyDescent="0.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30</v>
      </c>
      <c r="I119" t="s">
        <v>111</v>
      </c>
    </row>
    <row r="120" spans="1:9" x14ac:dyDescent="0.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30</v>
      </c>
      <c r="I120" t="s">
        <v>112</v>
      </c>
    </row>
    <row r="121" spans="1:9" x14ac:dyDescent="0.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30</v>
      </c>
      <c r="I121" t="s">
        <v>113</v>
      </c>
    </row>
    <row r="122" spans="1:9" x14ac:dyDescent="0.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30</v>
      </c>
      <c r="I122" t="s">
        <v>114</v>
      </c>
    </row>
    <row r="123" spans="1:9" x14ac:dyDescent="0.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9</v>
      </c>
      <c r="I123" t="s">
        <v>115</v>
      </c>
    </row>
    <row r="124" spans="1:9" x14ac:dyDescent="0.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30</v>
      </c>
      <c r="I124" t="s">
        <v>116</v>
      </c>
    </row>
    <row r="125" spans="1:9" x14ac:dyDescent="0.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24</v>
      </c>
      <c r="I125" t="s">
        <v>117</v>
      </c>
    </row>
    <row r="126" spans="1:9" x14ac:dyDescent="0.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9</v>
      </c>
      <c r="I126" t="s">
        <v>118</v>
      </c>
    </row>
    <row r="127" spans="1:9" x14ac:dyDescent="0.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9</v>
      </c>
      <c r="I127" t="s">
        <v>26</v>
      </c>
    </row>
    <row r="128" spans="1:9" x14ac:dyDescent="0.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9</v>
      </c>
      <c r="I128" t="s">
        <v>28</v>
      </c>
    </row>
    <row r="129" spans="1:9" x14ac:dyDescent="0.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9</v>
      </c>
      <c r="I129" t="s">
        <v>27</v>
      </c>
    </row>
    <row r="130" spans="1:9" x14ac:dyDescent="0.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9</v>
      </c>
      <c r="I130" t="s">
        <v>119</v>
      </c>
    </row>
    <row r="131" spans="1:9" x14ac:dyDescent="0.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24</v>
      </c>
      <c r="I131" t="s">
        <v>120</v>
      </c>
    </row>
    <row r="132" spans="1:9" x14ac:dyDescent="0.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9</v>
      </c>
      <c r="I132" t="s">
        <v>43</v>
      </c>
    </row>
    <row r="133" spans="1:9" x14ac:dyDescent="0.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24</v>
      </c>
      <c r="I133" t="s">
        <v>59</v>
      </c>
    </row>
    <row r="134" spans="1:9" x14ac:dyDescent="0.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9</v>
      </c>
      <c r="I134" t="s">
        <v>66</v>
      </c>
    </row>
    <row r="135" spans="1:9" x14ac:dyDescent="0.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9</v>
      </c>
      <c r="I135" t="s">
        <v>121</v>
      </c>
    </row>
    <row r="136" spans="1:9" x14ac:dyDescent="0.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9</v>
      </c>
      <c r="I136" t="s">
        <v>46</v>
      </c>
    </row>
    <row r="137" spans="1:9" x14ac:dyDescent="0.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9</v>
      </c>
      <c r="I137" t="s">
        <v>122</v>
      </c>
    </row>
    <row r="138" spans="1:9" x14ac:dyDescent="0.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9</v>
      </c>
      <c r="I138" t="s">
        <v>89</v>
      </c>
    </row>
    <row r="139" spans="1:9" x14ac:dyDescent="0.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9</v>
      </c>
      <c r="I139" t="s">
        <v>123</v>
      </c>
    </row>
    <row r="140" spans="1:9" x14ac:dyDescent="0.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9</v>
      </c>
      <c r="I140" t="s">
        <v>124</v>
      </c>
    </row>
    <row r="141" spans="1:9" x14ac:dyDescent="0.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9</v>
      </c>
      <c r="I141" t="s">
        <v>76</v>
      </c>
    </row>
    <row r="142" spans="1:9" x14ac:dyDescent="0.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9</v>
      </c>
      <c r="I142" t="s">
        <v>74</v>
      </c>
    </row>
    <row r="143" spans="1:9" x14ac:dyDescent="0.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30</v>
      </c>
      <c r="I143" t="s">
        <v>125</v>
      </c>
    </row>
    <row r="144" spans="1:9" x14ac:dyDescent="0.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30</v>
      </c>
      <c r="I144" t="s">
        <v>126</v>
      </c>
    </row>
    <row r="145" spans="1:9" x14ac:dyDescent="0.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30</v>
      </c>
      <c r="I145" t="s">
        <v>112</v>
      </c>
    </row>
    <row r="146" spans="1:9" x14ac:dyDescent="0.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24</v>
      </c>
      <c r="I146" t="s">
        <v>42</v>
      </c>
    </row>
    <row r="147" spans="1:9" x14ac:dyDescent="0.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24</v>
      </c>
      <c r="I147" t="s">
        <v>127</v>
      </c>
    </row>
    <row r="148" spans="1:9" x14ac:dyDescent="0.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9</v>
      </c>
      <c r="I148" t="s">
        <v>128</v>
      </c>
    </row>
    <row r="149" spans="1:9" x14ac:dyDescent="0.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30</v>
      </c>
      <c r="I149" t="s">
        <v>111</v>
      </c>
    </row>
    <row r="150" spans="1:9" x14ac:dyDescent="0.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30</v>
      </c>
      <c r="I150" t="s">
        <v>129</v>
      </c>
    </row>
    <row r="151" spans="1:9" x14ac:dyDescent="0.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24</v>
      </c>
      <c r="I151" t="s">
        <v>130</v>
      </c>
    </row>
    <row r="152" spans="1:9" x14ac:dyDescent="0.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24</v>
      </c>
      <c r="I152" t="s">
        <v>131</v>
      </c>
    </row>
    <row r="153" spans="1:9" x14ac:dyDescent="0.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30</v>
      </c>
      <c r="I153" t="s">
        <v>132</v>
      </c>
    </row>
    <row r="154" spans="1:9" x14ac:dyDescent="0.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9</v>
      </c>
      <c r="I154" t="s">
        <v>133</v>
      </c>
    </row>
    <row r="155" spans="1:9" x14ac:dyDescent="0.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9</v>
      </c>
      <c r="I155" t="s">
        <v>119</v>
      </c>
    </row>
    <row r="156" spans="1:9" x14ac:dyDescent="0.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9</v>
      </c>
      <c r="I156" t="s">
        <v>134</v>
      </c>
    </row>
    <row r="157" spans="1:9" x14ac:dyDescent="0.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9</v>
      </c>
      <c r="I157" t="s">
        <v>28</v>
      </c>
    </row>
    <row r="158" spans="1:9" x14ac:dyDescent="0.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9</v>
      </c>
      <c r="I158" t="s">
        <v>18</v>
      </c>
    </row>
    <row r="159" spans="1:9" x14ac:dyDescent="0.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9</v>
      </c>
      <c r="I159" t="s">
        <v>135</v>
      </c>
    </row>
    <row r="160" spans="1:9" x14ac:dyDescent="0.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9</v>
      </c>
      <c r="I160" t="s">
        <v>136</v>
      </c>
    </row>
    <row r="161" spans="1:9" x14ac:dyDescent="0.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9</v>
      </c>
      <c r="I161" t="s">
        <v>93</v>
      </c>
    </row>
    <row r="162" spans="1:9" x14ac:dyDescent="0.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9</v>
      </c>
      <c r="I162" t="s">
        <v>137</v>
      </c>
    </row>
    <row r="163" spans="1:9" x14ac:dyDescent="0.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9</v>
      </c>
      <c r="I163" t="s">
        <v>138</v>
      </c>
    </row>
    <row r="164" spans="1:9" x14ac:dyDescent="0.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9</v>
      </c>
      <c r="I164" t="s">
        <v>46</v>
      </c>
    </row>
    <row r="165" spans="1:9" x14ac:dyDescent="0.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9</v>
      </c>
      <c r="I165" t="s">
        <v>139</v>
      </c>
    </row>
    <row r="166" spans="1:9" x14ac:dyDescent="0.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9</v>
      </c>
      <c r="I166" t="s">
        <v>140</v>
      </c>
    </row>
    <row r="167" spans="1:9" x14ac:dyDescent="0.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9</v>
      </c>
      <c r="I167" t="s">
        <v>141</v>
      </c>
    </row>
    <row r="168" spans="1:9" x14ac:dyDescent="0.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9</v>
      </c>
      <c r="I168" t="s">
        <v>142</v>
      </c>
    </row>
    <row r="169" spans="1:9" x14ac:dyDescent="0.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24</v>
      </c>
      <c r="I169" t="s">
        <v>143</v>
      </c>
    </row>
    <row r="170" spans="1:9" x14ac:dyDescent="0.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9</v>
      </c>
      <c r="I170" t="s">
        <v>43</v>
      </c>
    </row>
    <row r="171" spans="1:9" x14ac:dyDescent="0.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9</v>
      </c>
      <c r="I171" t="s">
        <v>36</v>
      </c>
    </row>
    <row r="172" spans="1:9" x14ac:dyDescent="0.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9</v>
      </c>
      <c r="I172" t="s">
        <v>144</v>
      </c>
    </row>
    <row r="173" spans="1:9" x14ac:dyDescent="0.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24</v>
      </c>
      <c r="I173" t="s">
        <v>42</v>
      </c>
    </row>
    <row r="174" spans="1:9" x14ac:dyDescent="0.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30</v>
      </c>
      <c r="I174" t="s">
        <v>126</v>
      </c>
    </row>
    <row r="175" spans="1:9" x14ac:dyDescent="0.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24</v>
      </c>
      <c r="I175" t="s">
        <v>127</v>
      </c>
    </row>
    <row r="176" spans="1:9" x14ac:dyDescent="0.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9</v>
      </c>
      <c r="I176" t="s">
        <v>43</v>
      </c>
    </row>
    <row r="177" spans="1:9" x14ac:dyDescent="0.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30</v>
      </c>
      <c r="I177" t="s">
        <v>145</v>
      </c>
    </row>
    <row r="178" spans="1:9" x14ac:dyDescent="0.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9</v>
      </c>
      <c r="I178" t="s">
        <v>146</v>
      </c>
    </row>
    <row r="179" spans="1:9" x14ac:dyDescent="0.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30</v>
      </c>
      <c r="I179" t="s">
        <v>113</v>
      </c>
    </row>
    <row r="180" spans="1:9" x14ac:dyDescent="0.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30</v>
      </c>
      <c r="I180" t="s">
        <v>32</v>
      </c>
    </row>
    <row r="181" spans="1:9" x14ac:dyDescent="0.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30</v>
      </c>
      <c r="I181" t="s">
        <v>147</v>
      </c>
    </row>
    <row r="182" spans="1:9" x14ac:dyDescent="0.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30</v>
      </c>
      <c r="I182" t="s">
        <v>116</v>
      </c>
    </row>
    <row r="183" spans="1:9" x14ac:dyDescent="0.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24</v>
      </c>
      <c r="I183" t="s">
        <v>148</v>
      </c>
    </row>
    <row r="184" spans="1:9" x14ac:dyDescent="0.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30</v>
      </c>
      <c r="I184" t="s">
        <v>149</v>
      </c>
    </row>
    <row r="185" spans="1:9" x14ac:dyDescent="0.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30</v>
      </c>
      <c r="I185" t="s">
        <v>56</v>
      </c>
    </row>
    <row r="186" spans="1:9" x14ac:dyDescent="0.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9</v>
      </c>
      <c r="I186" t="s">
        <v>150</v>
      </c>
    </row>
    <row r="187" spans="1:9" x14ac:dyDescent="0.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9</v>
      </c>
      <c r="I187" t="s">
        <v>128</v>
      </c>
    </row>
    <row r="188" spans="1:9" x14ac:dyDescent="0.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30</v>
      </c>
      <c r="I188" t="s">
        <v>151</v>
      </c>
    </row>
    <row r="189" spans="1:9" x14ac:dyDescent="0.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9</v>
      </c>
      <c r="I189" t="s">
        <v>121</v>
      </c>
    </row>
    <row r="190" spans="1:9" x14ac:dyDescent="0.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9</v>
      </c>
      <c r="I190" t="s">
        <v>152</v>
      </c>
    </row>
    <row r="191" spans="1:9" x14ac:dyDescent="0.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9</v>
      </c>
      <c r="I191" t="s">
        <v>46</v>
      </c>
    </row>
    <row r="192" spans="1:9" x14ac:dyDescent="0.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9</v>
      </c>
      <c r="I192" t="s">
        <v>89</v>
      </c>
    </row>
    <row r="193" spans="1:9" x14ac:dyDescent="0.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9</v>
      </c>
      <c r="I193" t="s">
        <v>98</v>
      </c>
    </row>
    <row r="194" spans="1:9" x14ac:dyDescent="0.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9</v>
      </c>
      <c r="I194" t="s">
        <v>119</v>
      </c>
    </row>
    <row r="195" spans="1:9" x14ac:dyDescent="0.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9</v>
      </c>
      <c r="I195" t="s">
        <v>28</v>
      </c>
    </row>
    <row r="196" spans="1:9" x14ac:dyDescent="0.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9</v>
      </c>
      <c r="I196" t="s">
        <v>27</v>
      </c>
    </row>
    <row r="197" spans="1:9" x14ac:dyDescent="0.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9</v>
      </c>
      <c r="I197" t="s">
        <v>153</v>
      </c>
    </row>
    <row r="198" spans="1:9" x14ac:dyDescent="0.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9</v>
      </c>
      <c r="I198" t="s">
        <v>154</v>
      </c>
    </row>
    <row r="199" spans="1:9" x14ac:dyDescent="0.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30</v>
      </c>
      <c r="I199" t="s">
        <v>155</v>
      </c>
    </row>
    <row r="200" spans="1:9" x14ac:dyDescent="0.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24</v>
      </c>
      <c r="I200" t="s">
        <v>130</v>
      </c>
    </row>
    <row r="201" spans="1:9" x14ac:dyDescent="0.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9</v>
      </c>
      <c r="I201" t="s">
        <v>156</v>
      </c>
    </row>
    <row r="202" spans="1:9" x14ac:dyDescent="0.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9</v>
      </c>
      <c r="I202" t="s">
        <v>157</v>
      </c>
    </row>
    <row r="203" spans="1:9" x14ac:dyDescent="0.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9</v>
      </c>
      <c r="I203" t="s">
        <v>158</v>
      </c>
    </row>
    <row r="204" spans="1:9" x14ac:dyDescent="0.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9</v>
      </c>
      <c r="I204" t="s">
        <v>159</v>
      </c>
    </row>
    <row r="205" spans="1:9" x14ac:dyDescent="0.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30</v>
      </c>
      <c r="I205" t="s">
        <v>145</v>
      </c>
    </row>
    <row r="206" spans="1:9" x14ac:dyDescent="0.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24</v>
      </c>
      <c r="I206" t="s">
        <v>160</v>
      </c>
    </row>
    <row r="207" spans="1:9" x14ac:dyDescent="0.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24</v>
      </c>
      <c r="I207" t="s">
        <v>143</v>
      </c>
    </row>
    <row r="208" spans="1:9" x14ac:dyDescent="0.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9</v>
      </c>
      <c r="I208" t="s">
        <v>43</v>
      </c>
    </row>
    <row r="209" spans="1:9" x14ac:dyDescent="0.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30</v>
      </c>
      <c r="I209" t="s">
        <v>161</v>
      </c>
    </row>
    <row r="210" spans="1:9" x14ac:dyDescent="0.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9</v>
      </c>
      <c r="I210" t="s">
        <v>162</v>
      </c>
    </row>
    <row r="211" spans="1:9" x14ac:dyDescent="0.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30</v>
      </c>
      <c r="I211" t="s">
        <v>32</v>
      </c>
    </row>
    <row r="212" spans="1:9" x14ac:dyDescent="0.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24</v>
      </c>
      <c r="I212" t="s">
        <v>117</v>
      </c>
    </row>
    <row r="213" spans="1:9" x14ac:dyDescent="0.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30</v>
      </c>
      <c r="I213" t="s">
        <v>163</v>
      </c>
    </row>
    <row r="214" spans="1:9" x14ac:dyDescent="0.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9</v>
      </c>
      <c r="I214" t="s">
        <v>164</v>
      </c>
    </row>
    <row r="215" spans="1:9" x14ac:dyDescent="0.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9</v>
      </c>
      <c r="I215" t="s">
        <v>165</v>
      </c>
    </row>
    <row r="216" spans="1:9" x14ac:dyDescent="0.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9</v>
      </c>
      <c r="I216" t="s">
        <v>166</v>
      </c>
    </row>
    <row r="217" spans="1:9" x14ac:dyDescent="0.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9</v>
      </c>
      <c r="I217" t="s">
        <v>167</v>
      </c>
    </row>
    <row r="218" spans="1:9" x14ac:dyDescent="0.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24</v>
      </c>
      <c r="I218" t="s">
        <v>168</v>
      </c>
    </row>
    <row r="219" spans="1:9" x14ac:dyDescent="0.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9</v>
      </c>
      <c r="I219" t="s">
        <v>169</v>
      </c>
    </row>
    <row r="220" spans="1:9" x14ac:dyDescent="0.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30</v>
      </c>
      <c r="I220" t="s">
        <v>170</v>
      </c>
    </row>
    <row r="221" spans="1:9" x14ac:dyDescent="0.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9</v>
      </c>
      <c r="I221" t="s">
        <v>171</v>
      </c>
    </row>
    <row r="222" spans="1:9" x14ac:dyDescent="0.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24</v>
      </c>
      <c r="I222" t="s">
        <v>172</v>
      </c>
    </row>
    <row r="223" spans="1:9" x14ac:dyDescent="0.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9</v>
      </c>
      <c r="I223" t="s">
        <v>92</v>
      </c>
    </row>
    <row r="224" spans="1:9" x14ac:dyDescent="0.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9</v>
      </c>
      <c r="I224" t="s">
        <v>173</v>
      </c>
    </row>
    <row r="225" spans="1:9" x14ac:dyDescent="0.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9</v>
      </c>
      <c r="I225" t="s">
        <v>174</v>
      </c>
    </row>
    <row r="226" spans="1:9" x14ac:dyDescent="0.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9</v>
      </c>
      <c r="I226" t="s">
        <v>175</v>
      </c>
    </row>
    <row r="227" spans="1:9" x14ac:dyDescent="0.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9</v>
      </c>
      <c r="I227" t="s">
        <v>176</v>
      </c>
    </row>
    <row r="228" spans="1:9" x14ac:dyDescent="0.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9</v>
      </c>
      <c r="I228" t="s">
        <v>177</v>
      </c>
    </row>
    <row r="229" spans="1:9" x14ac:dyDescent="0.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9</v>
      </c>
      <c r="I229" t="s">
        <v>178</v>
      </c>
    </row>
    <row r="230" spans="1:9" x14ac:dyDescent="0.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9</v>
      </c>
      <c r="I230" t="s">
        <v>179</v>
      </c>
    </row>
    <row r="231" spans="1:9" x14ac:dyDescent="0.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9</v>
      </c>
      <c r="I231" t="s">
        <v>180</v>
      </c>
    </row>
    <row r="232" spans="1:9" x14ac:dyDescent="0.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9</v>
      </c>
      <c r="I232" t="s">
        <v>181</v>
      </c>
    </row>
    <row r="233" spans="1:9" x14ac:dyDescent="0.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9</v>
      </c>
      <c r="I233" t="s">
        <v>182</v>
      </c>
    </row>
    <row r="234" spans="1:9" x14ac:dyDescent="0.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9</v>
      </c>
      <c r="I234" t="s">
        <v>183</v>
      </c>
    </row>
    <row r="235" spans="1:9" x14ac:dyDescent="0.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30</v>
      </c>
      <c r="I235" t="s">
        <v>184</v>
      </c>
    </row>
    <row r="236" spans="1:9" x14ac:dyDescent="0.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9</v>
      </c>
      <c r="I236" t="s">
        <v>185</v>
      </c>
    </row>
    <row r="237" spans="1:9" x14ac:dyDescent="0.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24</v>
      </c>
      <c r="I237" t="s">
        <v>186</v>
      </c>
    </row>
    <row r="238" spans="1:9" x14ac:dyDescent="0.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9</v>
      </c>
      <c r="I238" t="s">
        <v>187</v>
      </c>
    </row>
    <row r="239" spans="1:9" x14ac:dyDescent="0.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9</v>
      </c>
      <c r="I239" t="s">
        <v>153</v>
      </c>
    </row>
    <row r="240" spans="1:9" x14ac:dyDescent="0.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9</v>
      </c>
      <c r="I240" t="s">
        <v>188</v>
      </c>
    </row>
    <row r="241" spans="1:9" x14ac:dyDescent="0.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24</v>
      </c>
      <c r="I241" t="s">
        <v>189</v>
      </c>
    </row>
    <row r="242" spans="1:9" x14ac:dyDescent="0.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30</v>
      </c>
      <c r="I242" t="s">
        <v>126</v>
      </c>
    </row>
    <row r="243" spans="1:9" x14ac:dyDescent="0.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24</v>
      </c>
      <c r="I243" t="s">
        <v>190</v>
      </c>
    </row>
    <row r="244" spans="1:9" x14ac:dyDescent="0.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30</v>
      </c>
      <c r="I244" t="s">
        <v>191</v>
      </c>
    </row>
    <row r="245" spans="1:9" x14ac:dyDescent="0.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24</v>
      </c>
      <c r="I245" t="s">
        <v>192</v>
      </c>
    </row>
    <row r="246" spans="1:9" x14ac:dyDescent="0.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30</v>
      </c>
      <c r="I246" t="s">
        <v>193</v>
      </c>
    </row>
    <row r="247" spans="1:9" x14ac:dyDescent="0.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9</v>
      </c>
      <c r="I247" t="s">
        <v>194</v>
      </c>
    </row>
    <row r="248" spans="1:9" x14ac:dyDescent="0.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24</v>
      </c>
      <c r="I248" t="s">
        <v>195</v>
      </c>
    </row>
    <row r="249" spans="1:9" x14ac:dyDescent="0.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24</v>
      </c>
      <c r="I249" t="s">
        <v>196</v>
      </c>
    </row>
    <row r="250" spans="1:9" x14ac:dyDescent="0.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24</v>
      </c>
      <c r="I250" t="s">
        <v>148</v>
      </c>
    </row>
    <row r="251" spans="1:9" x14ac:dyDescent="0.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9</v>
      </c>
      <c r="I251" t="s">
        <v>197</v>
      </c>
    </row>
    <row r="252" spans="1:9" x14ac:dyDescent="0.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9</v>
      </c>
      <c r="I252" t="s">
        <v>198</v>
      </c>
    </row>
    <row r="253" spans="1:9" x14ac:dyDescent="0.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9</v>
      </c>
      <c r="I253" t="s">
        <v>199</v>
      </c>
    </row>
    <row r="254" spans="1:9" x14ac:dyDescent="0.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9</v>
      </c>
      <c r="I254" t="s">
        <v>200</v>
      </c>
    </row>
    <row r="255" spans="1:9" x14ac:dyDescent="0.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9</v>
      </c>
      <c r="I255" t="s">
        <v>88</v>
      </c>
    </row>
    <row r="256" spans="1:9" x14ac:dyDescent="0.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9</v>
      </c>
      <c r="I256" t="s">
        <v>201</v>
      </c>
    </row>
    <row r="257" spans="1:9" x14ac:dyDescent="0.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9</v>
      </c>
      <c r="I257" t="s">
        <v>202</v>
      </c>
    </row>
    <row r="258" spans="1:9" x14ac:dyDescent="0.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9</v>
      </c>
      <c r="I258" t="s">
        <v>203</v>
      </c>
    </row>
    <row r="259" spans="1:9" x14ac:dyDescent="0.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9</v>
      </c>
      <c r="I259" t="s">
        <v>204</v>
      </c>
    </row>
    <row r="260" spans="1:9" x14ac:dyDescent="0.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9</v>
      </c>
      <c r="I260" t="s">
        <v>205</v>
      </c>
    </row>
    <row r="261" spans="1:9" x14ac:dyDescent="0.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9</v>
      </c>
      <c r="I261" t="s">
        <v>206</v>
      </c>
    </row>
    <row r="262" spans="1:9" x14ac:dyDescent="0.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9</v>
      </c>
      <c r="I262" t="s">
        <v>207</v>
      </c>
    </row>
    <row r="263" spans="1:9" x14ac:dyDescent="0.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9</v>
      </c>
      <c r="I263" t="s">
        <v>208</v>
      </c>
    </row>
    <row r="264" spans="1:9" x14ac:dyDescent="0.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9</v>
      </c>
      <c r="I264" t="s">
        <v>181</v>
      </c>
    </row>
    <row r="265" spans="1:9" x14ac:dyDescent="0.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9</v>
      </c>
      <c r="I265" t="s">
        <v>209</v>
      </c>
    </row>
    <row r="266" spans="1:9" x14ac:dyDescent="0.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9</v>
      </c>
      <c r="I266" t="s">
        <v>210</v>
      </c>
    </row>
    <row r="267" spans="1:9" x14ac:dyDescent="0.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9</v>
      </c>
      <c r="I267" t="s">
        <v>211</v>
      </c>
    </row>
    <row r="268" spans="1:9" x14ac:dyDescent="0.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9</v>
      </c>
      <c r="I268" t="s">
        <v>153</v>
      </c>
    </row>
    <row r="269" spans="1:9" x14ac:dyDescent="0.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24</v>
      </c>
      <c r="I269" t="s">
        <v>42</v>
      </c>
    </row>
    <row r="270" spans="1:9" x14ac:dyDescent="0.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24</v>
      </c>
      <c r="I270" t="s">
        <v>212</v>
      </c>
    </row>
    <row r="271" spans="1:9" x14ac:dyDescent="0.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9</v>
      </c>
      <c r="I271" t="s">
        <v>213</v>
      </c>
    </row>
    <row r="272" spans="1:9" x14ac:dyDescent="0.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24</v>
      </c>
      <c r="I272" t="s">
        <v>214</v>
      </c>
    </row>
    <row r="273" spans="1:9" x14ac:dyDescent="0.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9</v>
      </c>
      <c r="I273" t="s">
        <v>215</v>
      </c>
    </row>
    <row r="274" spans="1:9" x14ac:dyDescent="0.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9</v>
      </c>
      <c r="I274" t="s">
        <v>216</v>
      </c>
    </row>
    <row r="275" spans="1:9" x14ac:dyDescent="0.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24</v>
      </c>
      <c r="I275" t="s">
        <v>217</v>
      </c>
    </row>
    <row r="276" spans="1:9" x14ac:dyDescent="0.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30</v>
      </c>
      <c r="I276" t="s">
        <v>218</v>
      </c>
    </row>
    <row r="277" spans="1:9" x14ac:dyDescent="0.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30</v>
      </c>
      <c r="I277" t="s">
        <v>219</v>
      </c>
    </row>
    <row r="278" spans="1:9" x14ac:dyDescent="0.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30</v>
      </c>
      <c r="I278" t="s">
        <v>220</v>
      </c>
    </row>
    <row r="279" spans="1:9" x14ac:dyDescent="0.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30</v>
      </c>
      <c r="I279" t="s">
        <v>221</v>
      </c>
    </row>
    <row r="280" spans="1:9" x14ac:dyDescent="0.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30</v>
      </c>
      <c r="I280" t="s">
        <v>222</v>
      </c>
    </row>
    <row r="281" spans="1:9" x14ac:dyDescent="0.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24</v>
      </c>
      <c r="I281" t="s">
        <v>223</v>
      </c>
    </row>
    <row r="282" spans="1:9" x14ac:dyDescent="0.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9</v>
      </c>
      <c r="I282" t="s">
        <v>224</v>
      </c>
    </row>
    <row r="283" spans="1:9" x14ac:dyDescent="0.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9</v>
      </c>
      <c r="I283" t="s">
        <v>225</v>
      </c>
    </row>
    <row r="284" spans="1:9" x14ac:dyDescent="0.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9</v>
      </c>
      <c r="I284" t="s">
        <v>226</v>
      </c>
    </row>
    <row r="285" spans="1:9" x14ac:dyDescent="0.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9</v>
      </c>
      <c r="I285" t="s">
        <v>227</v>
      </c>
    </row>
    <row r="286" spans="1:9" x14ac:dyDescent="0.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9</v>
      </c>
      <c r="I286" t="s">
        <v>228</v>
      </c>
    </row>
    <row r="287" spans="1:9" x14ac:dyDescent="0.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9</v>
      </c>
      <c r="I287" t="s">
        <v>92</v>
      </c>
    </row>
    <row r="288" spans="1:9" x14ac:dyDescent="0.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9</v>
      </c>
      <c r="I288" t="s">
        <v>229</v>
      </c>
    </row>
    <row r="289" spans="1:9" x14ac:dyDescent="0.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9</v>
      </c>
      <c r="I289" t="s">
        <v>230</v>
      </c>
    </row>
    <row r="290" spans="1:9" x14ac:dyDescent="0.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9</v>
      </c>
      <c r="I290" t="s">
        <v>231</v>
      </c>
    </row>
    <row r="291" spans="1:9" x14ac:dyDescent="0.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9</v>
      </c>
      <c r="I291" t="s">
        <v>23</v>
      </c>
    </row>
    <row r="292" spans="1:9" x14ac:dyDescent="0.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9</v>
      </c>
      <c r="I292" t="s">
        <v>49</v>
      </c>
    </row>
    <row r="293" spans="1:9" x14ac:dyDescent="0.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9</v>
      </c>
      <c r="I293" t="s">
        <v>232</v>
      </c>
    </row>
    <row r="294" spans="1:9" x14ac:dyDescent="0.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9</v>
      </c>
      <c r="I294" t="s">
        <v>233</v>
      </c>
    </row>
    <row r="295" spans="1:9" x14ac:dyDescent="0.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30</v>
      </c>
      <c r="I295" t="s">
        <v>234</v>
      </c>
    </row>
    <row r="296" spans="1:9" x14ac:dyDescent="0.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24</v>
      </c>
      <c r="I296" t="s">
        <v>235</v>
      </c>
    </row>
    <row r="297" spans="1:9" x14ac:dyDescent="0.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9</v>
      </c>
      <c r="I297" t="s">
        <v>236</v>
      </c>
    </row>
    <row r="298" spans="1:9" x14ac:dyDescent="0.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9</v>
      </c>
      <c r="I298" t="s">
        <v>237</v>
      </c>
    </row>
    <row r="299" spans="1:9" x14ac:dyDescent="0.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30</v>
      </c>
      <c r="I299" t="s">
        <v>238</v>
      </c>
    </row>
    <row r="300" spans="1:9" x14ac:dyDescent="0.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9</v>
      </c>
      <c r="I300" t="s">
        <v>239</v>
      </c>
    </row>
    <row r="301" spans="1:9" x14ac:dyDescent="0.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30</v>
      </c>
      <c r="I301" t="s">
        <v>32</v>
      </c>
    </row>
    <row r="302" spans="1:9" x14ac:dyDescent="0.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9</v>
      </c>
      <c r="I302" t="s">
        <v>197</v>
      </c>
    </row>
    <row r="303" spans="1:9" x14ac:dyDescent="0.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9</v>
      </c>
      <c r="I303" t="s">
        <v>240</v>
      </c>
    </row>
    <row r="304" spans="1:9" x14ac:dyDescent="0.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9</v>
      </c>
      <c r="I304" t="s">
        <v>241</v>
      </c>
    </row>
    <row r="305" spans="1:9" x14ac:dyDescent="0.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24</v>
      </c>
      <c r="I305" t="s">
        <v>242</v>
      </c>
    </row>
    <row r="306" spans="1:9" x14ac:dyDescent="0.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30</v>
      </c>
      <c r="I306" t="s">
        <v>243</v>
      </c>
    </row>
    <row r="307" spans="1:9" x14ac:dyDescent="0.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9</v>
      </c>
      <c r="I307" t="s">
        <v>244</v>
      </c>
    </row>
    <row r="308" spans="1:9" x14ac:dyDescent="0.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9</v>
      </c>
      <c r="I308" t="s">
        <v>245</v>
      </c>
    </row>
    <row r="309" spans="1:9" x14ac:dyDescent="0.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9</v>
      </c>
      <c r="I309" t="s">
        <v>246</v>
      </c>
    </row>
    <row r="310" spans="1:9" x14ac:dyDescent="0.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9</v>
      </c>
      <c r="I310" t="s">
        <v>247</v>
      </c>
    </row>
    <row r="311" spans="1:9" x14ac:dyDescent="0.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30</v>
      </c>
      <c r="I311" t="s">
        <v>155</v>
      </c>
    </row>
    <row r="312" spans="1:9" x14ac:dyDescent="0.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24</v>
      </c>
      <c r="I312" t="s">
        <v>248</v>
      </c>
    </row>
    <row r="313" spans="1:9" x14ac:dyDescent="0.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9</v>
      </c>
      <c r="I313" t="s">
        <v>153</v>
      </c>
    </row>
    <row r="314" spans="1:9" x14ac:dyDescent="0.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24</v>
      </c>
      <c r="I314" t="s">
        <v>249</v>
      </c>
    </row>
    <row r="315" spans="1:9" x14ac:dyDescent="0.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9</v>
      </c>
      <c r="I315" t="s">
        <v>245</v>
      </c>
    </row>
    <row r="316" spans="1:9" x14ac:dyDescent="0.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9</v>
      </c>
      <c r="I316" t="s">
        <v>250</v>
      </c>
    </row>
    <row r="317" spans="1:9" x14ac:dyDescent="0.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9</v>
      </c>
      <c r="I317" t="s">
        <v>204</v>
      </c>
    </row>
    <row r="318" spans="1:9" x14ac:dyDescent="0.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9</v>
      </c>
      <c r="I318" t="s">
        <v>207</v>
      </c>
    </row>
    <row r="319" spans="1:9" x14ac:dyDescent="0.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30</v>
      </c>
      <c r="I319" t="s">
        <v>251</v>
      </c>
    </row>
    <row r="320" spans="1:9" x14ac:dyDescent="0.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24</v>
      </c>
      <c r="I320" t="s">
        <v>252</v>
      </c>
    </row>
    <row r="321" spans="1:9" x14ac:dyDescent="0.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24</v>
      </c>
      <c r="I321" t="s">
        <v>253</v>
      </c>
    </row>
    <row r="322" spans="1:9" x14ac:dyDescent="0.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24</v>
      </c>
      <c r="I322" t="s">
        <v>254</v>
      </c>
    </row>
    <row r="323" spans="1:9" x14ac:dyDescent="0.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24</v>
      </c>
      <c r="I323" t="s">
        <v>143</v>
      </c>
    </row>
    <row r="324" spans="1:9" x14ac:dyDescent="0.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24</v>
      </c>
      <c r="I324" t="s">
        <v>255</v>
      </c>
    </row>
    <row r="325" spans="1:9" x14ac:dyDescent="0.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9</v>
      </c>
      <c r="I325" t="s">
        <v>128</v>
      </c>
    </row>
    <row r="326" spans="1:9" x14ac:dyDescent="0.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24</v>
      </c>
      <c r="I326" t="s">
        <v>242</v>
      </c>
    </row>
    <row r="327" spans="1:9" x14ac:dyDescent="0.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30</v>
      </c>
      <c r="I327" t="s">
        <v>256</v>
      </c>
    </row>
    <row r="328" spans="1:9" x14ac:dyDescent="0.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30</v>
      </c>
      <c r="I328" t="s">
        <v>257</v>
      </c>
    </row>
    <row r="329" spans="1:9" x14ac:dyDescent="0.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30</v>
      </c>
      <c r="I329" t="s">
        <v>258</v>
      </c>
    </row>
    <row r="330" spans="1:9" x14ac:dyDescent="0.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30</v>
      </c>
      <c r="I330" t="s">
        <v>259</v>
      </c>
    </row>
    <row r="331" spans="1:9" x14ac:dyDescent="0.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24</v>
      </c>
      <c r="I331" t="s">
        <v>260</v>
      </c>
    </row>
    <row r="332" spans="1:9" x14ac:dyDescent="0.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30</v>
      </c>
      <c r="I332" t="s">
        <v>261</v>
      </c>
    </row>
    <row r="333" spans="1:9" x14ac:dyDescent="0.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24</v>
      </c>
      <c r="I333" t="s">
        <v>189</v>
      </c>
    </row>
    <row r="334" spans="1:9" x14ac:dyDescent="0.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30</v>
      </c>
      <c r="I334" t="s">
        <v>262</v>
      </c>
    </row>
    <row r="335" spans="1:9" x14ac:dyDescent="0.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24</v>
      </c>
      <c r="I335" t="s">
        <v>263</v>
      </c>
    </row>
    <row r="336" spans="1:9" x14ac:dyDescent="0.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24</v>
      </c>
      <c r="I336" t="s">
        <v>264</v>
      </c>
    </row>
    <row r="337" spans="1:9" x14ac:dyDescent="0.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30</v>
      </c>
      <c r="I337" t="s">
        <v>265</v>
      </c>
    </row>
    <row r="338" spans="1:9" x14ac:dyDescent="0.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9</v>
      </c>
      <c r="I338" t="s">
        <v>266</v>
      </c>
    </row>
    <row r="339" spans="1:9" x14ac:dyDescent="0.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24</v>
      </c>
      <c r="I339" t="s">
        <v>267</v>
      </c>
    </row>
    <row r="340" spans="1:9" x14ac:dyDescent="0.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9</v>
      </c>
      <c r="I340" t="s">
        <v>268</v>
      </c>
    </row>
    <row r="341" spans="1:9" x14ac:dyDescent="0.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9</v>
      </c>
      <c r="I341" t="s">
        <v>177</v>
      </c>
    </row>
    <row r="342" spans="1:9" x14ac:dyDescent="0.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9</v>
      </c>
      <c r="I342" t="s">
        <v>269</v>
      </c>
    </row>
    <row r="343" spans="1:9" x14ac:dyDescent="0.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9</v>
      </c>
      <c r="I343" t="s">
        <v>245</v>
      </c>
    </row>
    <row r="344" spans="1:9" x14ac:dyDescent="0.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9</v>
      </c>
      <c r="I344" t="s">
        <v>268</v>
      </c>
    </row>
    <row r="345" spans="1:9" x14ac:dyDescent="0.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24</v>
      </c>
      <c r="I345" t="s">
        <v>270</v>
      </c>
    </row>
    <row r="346" spans="1:9" x14ac:dyDescent="0.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9</v>
      </c>
      <c r="I346" t="s">
        <v>271</v>
      </c>
    </row>
    <row r="347" spans="1:9" x14ac:dyDescent="0.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24</v>
      </c>
      <c r="I347" t="s">
        <v>272</v>
      </c>
    </row>
    <row r="348" spans="1:9" x14ac:dyDescent="0.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24</v>
      </c>
      <c r="I348" t="s">
        <v>131</v>
      </c>
    </row>
    <row r="349" spans="1:9" x14ac:dyDescent="0.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24</v>
      </c>
      <c r="I349" t="s">
        <v>273</v>
      </c>
    </row>
    <row r="350" spans="1:9" x14ac:dyDescent="0.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24</v>
      </c>
      <c r="I350" t="s">
        <v>274</v>
      </c>
    </row>
    <row r="351" spans="1:9" x14ac:dyDescent="0.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24</v>
      </c>
      <c r="I351" t="s">
        <v>275</v>
      </c>
    </row>
    <row r="352" spans="1:9" x14ac:dyDescent="0.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9</v>
      </c>
      <c r="I352" t="s">
        <v>276</v>
      </c>
    </row>
    <row r="353" spans="1:9" x14ac:dyDescent="0.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9</v>
      </c>
      <c r="I353" t="s">
        <v>277</v>
      </c>
    </row>
    <row r="354" spans="1:9" x14ac:dyDescent="0.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9</v>
      </c>
      <c r="I354" t="s">
        <v>278</v>
      </c>
    </row>
    <row r="355" spans="1:9" x14ac:dyDescent="0.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30</v>
      </c>
      <c r="I355" t="s">
        <v>279</v>
      </c>
    </row>
    <row r="356" spans="1:9" x14ac:dyDescent="0.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30</v>
      </c>
      <c r="I356" t="s">
        <v>280</v>
      </c>
    </row>
    <row r="357" spans="1:9" x14ac:dyDescent="0.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24</v>
      </c>
      <c r="I357" t="s">
        <v>281</v>
      </c>
    </row>
    <row r="358" spans="1:9" x14ac:dyDescent="0.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24</v>
      </c>
      <c r="I358" t="s">
        <v>143</v>
      </c>
    </row>
    <row r="359" spans="1:9" x14ac:dyDescent="0.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24</v>
      </c>
      <c r="I359" t="s">
        <v>282</v>
      </c>
    </row>
    <row r="360" spans="1:9" x14ac:dyDescent="0.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24</v>
      </c>
      <c r="I360" t="s">
        <v>253</v>
      </c>
    </row>
    <row r="361" spans="1:9" x14ac:dyDescent="0.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30</v>
      </c>
      <c r="I361" t="s">
        <v>283</v>
      </c>
    </row>
    <row r="362" spans="1:9" x14ac:dyDescent="0.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30</v>
      </c>
      <c r="I362" t="s">
        <v>284</v>
      </c>
    </row>
    <row r="363" spans="1:9" x14ac:dyDescent="0.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24</v>
      </c>
      <c r="I363" t="s">
        <v>285</v>
      </c>
    </row>
    <row r="364" spans="1:9" x14ac:dyDescent="0.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24</v>
      </c>
      <c r="I364" t="s">
        <v>286</v>
      </c>
    </row>
    <row r="365" spans="1:9" x14ac:dyDescent="0.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9</v>
      </c>
      <c r="I365" t="s">
        <v>137</v>
      </c>
    </row>
    <row r="366" spans="1:9" x14ac:dyDescent="0.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9</v>
      </c>
      <c r="I366" t="s">
        <v>287</v>
      </c>
    </row>
    <row r="367" spans="1:9" x14ac:dyDescent="0.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9</v>
      </c>
      <c r="I367" t="s">
        <v>288</v>
      </c>
    </row>
    <row r="368" spans="1:9" x14ac:dyDescent="0.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9</v>
      </c>
      <c r="I368" t="s">
        <v>289</v>
      </c>
    </row>
    <row r="369" spans="1:9" x14ac:dyDescent="0.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9</v>
      </c>
      <c r="I369" t="s">
        <v>290</v>
      </c>
    </row>
    <row r="370" spans="1:9" x14ac:dyDescent="0.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9</v>
      </c>
      <c r="I370" t="s">
        <v>291</v>
      </c>
    </row>
    <row r="371" spans="1:9" x14ac:dyDescent="0.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9</v>
      </c>
      <c r="I371" t="s">
        <v>292</v>
      </c>
    </row>
    <row r="372" spans="1:9" x14ac:dyDescent="0.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9</v>
      </c>
      <c r="I372" t="s">
        <v>293</v>
      </c>
    </row>
    <row r="373" spans="1:9" x14ac:dyDescent="0.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9</v>
      </c>
      <c r="I373" t="s">
        <v>294</v>
      </c>
    </row>
    <row r="374" spans="1:9" x14ac:dyDescent="0.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9</v>
      </c>
      <c r="I374" t="s">
        <v>247</v>
      </c>
    </row>
    <row r="375" spans="1:9" x14ac:dyDescent="0.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9</v>
      </c>
      <c r="I375" t="s">
        <v>295</v>
      </c>
    </row>
    <row r="376" spans="1:9" x14ac:dyDescent="0.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9</v>
      </c>
      <c r="I376" t="s">
        <v>296</v>
      </c>
    </row>
    <row r="377" spans="1:9" x14ac:dyDescent="0.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30</v>
      </c>
      <c r="I377" t="s">
        <v>297</v>
      </c>
    </row>
    <row r="378" spans="1:9" x14ac:dyDescent="0.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24</v>
      </c>
      <c r="I378" t="s">
        <v>298</v>
      </c>
    </row>
    <row r="379" spans="1:9" x14ac:dyDescent="0.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24</v>
      </c>
      <c r="I379" t="s">
        <v>299</v>
      </c>
    </row>
    <row r="380" spans="1:9" x14ac:dyDescent="0.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9</v>
      </c>
      <c r="I380" t="s">
        <v>300</v>
      </c>
    </row>
    <row r="381" spans="1:9" x14ac:dyDescent="0.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9</v>
      </c>
      <c r="I381" t="s">
        <v>301</v>
      </c>
    </row>
    <row r="382" spans="1:9" x14ac:dyDescent="0.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24</v>
      </c>
      <c r="I382" t="s">
        <v>302</v>
      </c>
    </row>
    <row r="383" spans="1:9" x14ac:dyDescent="0.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24</v>
      </c>
      <c r="I383" t="s">
        <v>267</v>
      </c>
    </row>
    <row r="384" spans="1:9" x14ac:dyDescent="0.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24</v>
      </c>
      <c r="I384" t="s">
        <v>143</v>
      </c>
    </row>
    <row r="385" spans="1:9" x14ac:dyDescent="0.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24</v>
      </c>
      <c r="I385" t="s">
        <v>130</v>
      </c>
    </row>
    <row r="386" spans="1:9" x14ac:dyDescent="0.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24</v>
      </c>
      <c r="I386" t="s">
        <v>303</v>
      </c>
    </row>
    <row r="387" spans="1:9" x14ac:dyDescent="0.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24</v>
      </c>
      <c r="I387" t="s">
        <v>304</v>
      </c>
    </row>
    <row r="388" spans="1:9" x14ac:dyDescent="0.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9</v>
      </c>
      <c r="I388" t="s">
        <v>305</v>
      </c>
    </row>
    <row r="389" spans="1:9" x14ac:dyDescent="0.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9</v>
      </c>
      <c r="I389" t="s">
        <v>306</v>
      </c>
    </row>
    <row r="390" spans="1:9" x14ac:dyDescent="0.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9</v>
      </c>
      <c r="I390" t="s">
        <v>307</v>
      </c>
    </row>
    <row r="391" spans="1:9" x14ac:dyDescent="0.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9</v>
      </c>
      <c r="I391" t="s">
        <v>308</v>
      </c>
    </row>
    <row r="392" spans="1:9" x14ac:dyDescent="0.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24</v>
      </c>
      <c r="I392" t="s">
        <v>309</v>
      </c>
    </row>
    <row r="393" spans="1:9" x14ac:dyDescent="0.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9</v>
      </c>
      <c r="I393" t="s">
        <v>310</v>
      </c>
    </row>
    <row r="394" spans="1:9" x14ac:dyDescent="0.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9</v>
      </c>
      <c r="I394" t="s">
        <v>311</v>
      </c>
    </row>
    <row r="395" spans="1:9" x14ac:dyDescent="0.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9</v>
      </c>
      <c r="I395" t="s">
        <v>312</v>
      </c>
    </row>
    <row r="396" spans="1:9" x14ac:dyDescent="0.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30</v>
      </c>
      <c r="I396" t="s">
        <v>313</v>
      </c>
    </row>
    <row r="397" spans="1:9" x14ac:dyDescent="0.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9</v>
      </c>
      <c r="I397" t="s">
        <v>314</v>
      </c>
    </row>
    <row r="398" spans="1:9" x14ac:dyDescent="0.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9</v>
      </c>
      <c r="I398" t="s">
        <v>315</v>
      </c>
    </row>
    <row r="399" spans="1:9" x14ac:dyDescent="0.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9</v>
      </c>
      <c r="I399" t="s">
        <v>316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A3DC-CC7A-4BBE-90C7-63E4659EAB5B}">
  <dimension ref="A1:I79"/>
  <sheetViews>
    <sheetView tabSelected="1" workbookViewId="0">
      <selection activeCell="D73" sqref="A71:D73"/>
    </sheetView>
  </sheetViews>
  <sheetFormatPr defaultRowHeight="14.35" x14ac:dyDescent="0.5"/>
  <cols>
    <col min="1" max="1" width="16.87890625" customWidth="1"/>
    <col min="2" max="2" width="12.52734375" customWidth="1"/>
    <col min="3" max="4" width="17.234375" customWidth="1"/>
    <col min="5" max="5" width="11.29296875" customWidth="1"/>
    <col min="6" max="6" width="5.234375" bestFit="1" customWidth="1"/>
    <col min="7" max="7" width="5.3515625" bestFit="1" customWidth="1"/>
    <col min="8" max="8" width="5.8203125" bestFit="1" customWidth="1"/>
    <col min="9" max="9" width="5.234375" bestFit="1" customWidth="1"/>
  </cols>
  <sheetData>
    <row r="1" spans="1:9" x14ac:dyDescent="0.5">
      <c r="A1" t="str" cm="1">
        <f t="array" ref="A1:I5">_xlfn._xlws.PY(1,0)</f>
        <v/>
      </c>
      <c r="B1" t="str">
        <v>count</v>
      </c>
      <c r="C1" s="1" t="str">
        <v>mean</v>
      </c>
      <c r="D1" s="1" t="str">
        <v>std</v>
      </c>
      <c r="E1" s="1" t="str">
        <v>min</v>
      </c>
      <c r="F1" s="1" t="str">
        <v>25%</v>
      </c>
      <c r="G1" s="1" t="str">
        <v>50%</v>
      </c>
      <c r="H1" s="1" t="str">
        <v>75%</v>
      </c>
      <c r="I1" s="1" t="str">
        <v>max</v>
      </c>
    </row>
    <row r="2" spans="1:9" x14ac:dyDescent="0.5">
      <c r="A2" t="str">
        <v>origin</v>
      </c>
      <c r="B2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</row>
    <row r="3" spans="1:9" x14ac:dyDescent="0.5">
      <c r="A3" t="str">
        <v>europe</v>
      </c>
      <c r="B3">
        <v>70</v>
      </c>
      <c r="C3" s="1">
        <v>27.89142857142857</v>
      </c>
      <c r="D3" s="1">
        <v>6.7239296407431706</v>
      </c>
      <c r="E3" s="1">
        <v>16.2</v>
      </c>
      <c r="F3" s="1">
        <v>24</v>
      </c>
      <c r="G3" s="1">
        <v>26.5</v>
      </c>
      <c r="H3" s="1">
        <v>30.65</v>
      </c>
      <c r="I3" s="1">
        <v>44.3</v>
      </c>
    </row>
    <row r="4" spans="1:9" x14ac:dyDescent="0.5">
      <c r="A4" t="str">
        <v>japan</v>
      </c>
      <c r="B4">
        <v>79</v>
      </c>
      <c r="C4" s="1">
        <v>30.450632911392404</v>
      </c>
      <c r="D4" s="1">
        <v>6.0900480697383239</v>
      </c>
      <c r="E4" s="1">
        <v>18</v>
      </c>
      <c r="F4" s="1">
        <v>25.7</v>
      </c>
      <c r="G4" s="1">
        <v>31.6</v>
      </c>
      <c r="H4" s="1">
        <v>34.049999999999997</v>
      </c>
      <c r="I4" s="1">
        <v>46.6</v>
      </c>
    </row>
    <row r="5" spans="1:9" x14ac:dyDescent="0.5">
      <c r="A5" t="str">
        <v>usa</v>
      </c>
      <c r="B5">
        <v>249</v>
      </c>
      <c r="C5" s="1">
        <v>20.083534136546184</v>
      </c>
      <c r="D5" s="1">
        <v>6.4028920160496918</v>
      </c>
      <c r="E5" s="1">
        <v>9</v>
      </c>
      <c r="F5" s="1">
        <v>15</v>
      </c>
      <c r="G5" s="1">
        <v>18.5</v>
      </c>
      <c r="H5" s="1">
        <v>24</v>
      </c>
      <c r="I5" s="1">
        <v>39</v>
      </c>
    </row>
    <row r="6" spans="1:9" x14ac:dyDescent="0.5">
      <c r="C6" s="1"/>
      <c r="D6" s="1"/>
      <c r="E6" s="1"/>
      <c r="F6" s="1"/>
      <c r="G6" s="1"/>
      <c r="H6" s="1"/>
      <c r="I6" s="1"/>
    </row>
    <row r="8" spans="1:9" x14ac:dyDescent="0.5">
      <c r="A8" t="str" cm="1">
        <f t="array" ref="A8:E9">_xlfn._xlws.PY(2,0)</f>
        <v>Test statistic</v>
      </c>
      <c r="B8" t="str">
        <v>p-value</v>
      </c>
      <c r="C8" t="str">
        <v>Asia mean</v>
      </c>
      <c r="D8" t="str">
        <v>Europe mean</v>
      </c>
      <c r="E8" t="str">
        <v>Difference</v>
      </c>
    </row>
    <row r="9" spans="1:9" x14ac:dyDescent="0.5">
      <c r="A9">
        <v>2.4378000000000002</v>
      </c>
      <c r="B9">
        <v>1.6E-2</v>
      </c>
      <c r="C9">
        <v>30.45</v>
      </c>
      <c r="D9">
        <v>27.89</v>
      </c>
      <c r="E9">
        <v>2.56</v>
      </c>
    </row>
    <row r="12" spans="1:9" x14ac:dyDescent="0.5">
      <c r="A12" t="str" cm="1">
        <f t="array" ref="A12">_xlfn._xlws.PY(3,0)</f>
        <v>Cohen's d (effect size): 0.4002</v>
      </c>
    </row>
    <row r="14" spans="1:9" x14ac:dyDescent="0.5">
      <c r="A14" t="str" cm="1">
        <f t="array" ref="A14:E15">_xlfn._xlws.PY(4,0)</f>
        <v>F-statistic</v>
      </c>
      <c r="B14" t="str">
        <v>p-value</v>
      </c>
      <c r="C14" t="str">
        <v>USA mean</v>
      </c>
      <c r="D14" t="str">
        <v>Europe mean</v>
      </c>
      <c r="E14" t="str">
        <v>Japan mean</v>
      </c>
    </row>
    <row r="15" spans="1:9" x14ac:dyDescent="0.5">
      <c r="A15">
        <v>98.54</v>
      </c>
      <c r="B15" t="str">
        <v>0.0</v>
      </c>
      <c r="C15">
        <v>20.079999999999998</v>
      </c>
      <c r="D15">
        <v>27.89</v>
      </c>
      <c r="E15">
        <v>30.45</v>
      </c>
    </row>
    <row r="17" spans="1:7" x14ac:dyDescent="0.5">
      <c r="A17" t="str" cm="1">
        <f t="array" ref="A17:G20">_xlfn._xlws.PY(5,0)</f>
        <v>group1</v>
      </c>
      <c r="B17" t="str">
        <v>group2</v>
      </c>
      <c r="C17" t="str">
        <v>meandiff</v>
      </c>
      <c r="D17" t="str">
        <v>p-adj</v>
      </c>
      <c r="E17" t="str">
        <v>lower</v>
      </c>
      <c r="F17" t="str">
        <v>upper</v>
      </c>
      <c r="G17" t="str">
        <v>reject</v>
      </c>
    </row>
    <row r="18" spans="1:7" x14ac:dyDescent="0.5">
      <c r="A18" t="str">
        <v>europe</v>
      </c>
      <c r="B18" t="str">
        <v>japan</v>
      </c>
      <c r="C18">
        <v>2.5592000000000001</v>
      </c>
      <c r="D18">
        <v>4.0399999999999998E-2</v>
      </c>
      <c r="E18">
        <v>8.77E-2</v>
      </c>
      <c r="F18">
        <v>5.0307000000000004</v>
      </c>
      <c r="G18" t="b">
        <v>1</v>
      </c>
    </row>
    <row r="19" spans="1:7" x14ac:dyDescent="0.5">
      <c r="A19" t="str">
        <v>europe</v>
      </c>
      <c r="B19" t="str">
        <v>usa</v>
      </c>
      <c r="C19">
        <v>-7.8079000000000001</v>
      </c>
      <c r="D19">
        <v>0</v>
      </c>
      <c r="E19">
        <v>-9.8447999999999993</v>
      </c>
      <c r="F19">
        <v>-5.7709999999999999</v>
      </c>
      <c r="G19" t="b">
        <v>1</v>
      </c>
    </row>
    <row r="20" spans="1:7" x14ac:dyDescent="0.5">
      <c r="A20" t="str">
        <v>japan</v>
      </c>
      <c r="B20" t="str">
        <v>usa</v>
      </c>
      <c r="C20">
        <v>-10.367100000000001</v>
      </c>
      <c r="D20">
        <v>0</v>
      </c>
      <c r="E20">
        <v>-12.311400000000001</v>
      </c>
      <c r="F20">
        <v>-8.4228000000000005</v>
      </c>
      <c r="G20" t="b">
        <v>1</v>
      </c>
    </row>
    <row r="23" spans="1:7" x14ac:dyDescent="0.5">
      <c r="A23" t="str" cm="1">
        <f t="array" ref="A23:D32">_xlfn._xlws.PY(6,0)</f>
        <v>origin</v>
      </c>
      <c r="B23" t="str">
        <v>cylinders</v>
      </c>
      <c r="C23" t="str">
        <v>engine_size</v>
      </c>
      <c r="D23" t="str">
        <v>count</v>
      </c>
    </row>
    <row r="24" spans="1:7" x14ac:dyDescent="0.5">
      <c r="A24" t="str">
        <v>usa</v>
      </c>
      <c r="B24">
        <v>8</v>
      </c>
      <c r="C24" t="str">
        <v>Large (8)</v>
      </c>
      <c r="D24">
        <v>103</v>
      </c>
    </row>
    <row r="25" spans="1:7" x14ac:dyDescent="0.5">
      <c r="A25" t="str">
        <v>usa</v>
      </c>
      <c r="B25">
        <v>6</v>
      </c>
      <c r="C25" t="str">
        <v>Medium (5-6)</v>
      </c>
      <c r="D25">
        <v>74</v>
      </c>
    </row>
    <row r="26" spans="1:7" x14ac:dyDescent="0.5">
      <c r="A26" t="str">
        <v>usa</v>
      </c>
      <c r="B26">
        <v>4</v>
      </c>
      <c r="C26" t="str">
        <v>Small (3-4)</v>
      </c>
      <c r="D26">
        <v>72</v>
      </c>
    </row>
    <row r="27" spans="1:7" x14ac:dyDescent="0.5">
      <c r="A27" t="str">
        <v>japan</v>
      </c>
      <c r="B27">
        <v>4</v>
      </c>
      <c r="C27" t="str">
        <v>Small (3-4)</v>
      </c>
      <c r="D27">
        <v>69</v>
      </c>
    </row>
    <row r="28" spans="1:7" x14ac:dyDescent="0.5">
      <c r="A28" t="str">
        <v>europe</v>
      </c>
      <c r="B28">
        <v>4</v>
      </c>
      <c r="C28" t="str">
        <v>Small (3-4)</v>
      </c>
      <c r="D28">
        <v>63</v>
      </c>
    </row>
    <row r="29" spans="1:7" x14ac:dyDescent="0.5">
      <c r="A29" t="str">
        <v>japan</v>
      </c>
      <c r="B29">
        <v>6</v>
      </c>
      <c r="C29" t="str">
        <v>Medium (5-6)</v>
      </c>
      <c r="D29">
        <v>6</v>
      </c>
    </row>
    <row r="30" spans="1:7" x14ac:dyDescent="0.5">
      <c r="A30" t="str">
        <v>europe</v>
      </c>
      <c r="B30">
        <v>6</v>
      </c>
      <c r="C30" t="str">
        <v>Medium (5-6)</v>
      </c>
      <c r="D30">
        <v>4</v>
      </c>
    </row>
    <row r="31" spans="1:7" x14ac:dyDescent="0.5">
      <c r="A31" t="str">
        <v>japan</v>
      </c>
      <c r="B31">
        <v>3</v>
      </c>
      <c r="C31" t="str">
        <v>Small (3-4)</v>
      </c>
      <c r="D31">
        <v>4</v>
      </c>
    </row>
    <row r="32" spans="1:7" x14ac:dyDescent="0.5">
      <c r="A32" t="str">
        <v>europe</v>
      </c>
      <c r="B32">
        <v>5</v>
      </c>
      <c r="C32" t="str">
        <v>Medium (5-6)</v>
      </c>
      <c r="D32">
        <v>3</v>
      </c>
    </row>
    <row r="34" spans="1:4" x14ac:dyDescent="0.5">
      <c r="A34" t="str" cm="1">
        <f t="array" ref="A34:D38">_xlfn._xlws.PY(7,0)</f>
        <v>engine_size</v>
      </c>
      <c r="B34" t="str">
        <v>Small (3-4)</v>
      </c>
      <c r="C34" t="str">
        <v>Medium (5-6)</v>
      </c>
      <c r="D34" t="str">
        <v>Large (8)</v>
      </c>
    </row>
    <row r="35" spans="1:4" x14ac:dyDescent="0.5">
      <c r="A35" t="str">
        <v>origin</v>
      </c>
      <c r="B35" t="str">
        <v/>
      </c>
      <c r="C35" t="str">
        <v/>
      </c>
      <c r="D35" t="str">
        <v/>
      </c>
    </row>
    <row r="36" spans="1:4" x14ac:dyDescent="0.5">
      <c r="A36" t="str">
        <v>europe</v>
      </c>
      <c r="B36">
        <v>63</v>
      </c>
      <c r="C36">
        <v>7</v>
      </c>
      <c r="D36">
        <v>0</v>
      </c>
    </row>
    <row r="37" spans="1:4" x14ac:dyDescent="0.5">
      <c r="A37" t="str">
        <v>japan</v>
      </c>
      <c r="B37">
        <v>73</v>
      </c>
      <c r="C37">
        <v>6</v>
      </c>
      <c r="D37">
        <v>0</v>
      </c>
    </row>
    <row r="38" spans="1:4" x14ac:dyDescent="0.5">
      <c r="A38" t="str">
        <v>usa</v>
      </c>
      <c r="B38">
        <v>72</v>
      </c>
      <c r="C38">
        <v>74</v>
      </c>
      <c r="D38">
        <v>103</v>
      </c>
    </row>
    <row r="42" spans="1:4" x14ac:dyDescent="0.5">
      <c r="A42" t="str" cm="1">
        <f t="array" ref="A42:C43">_xlfn._xlws.PY(8,0)</f>
        <v>Chi-square statistic</v>
      </c>
      <c r="B42" t="str">
        <v>p-value</v>
      </c>
      <c r="C42" t="str">
        <v>Degrees of freedom</v>
      </c>
    </row>
    <row r="43" spans="1:4" x14ac:dyDescent="0.5">
      <c r="A43">
        <v>149.93</v>
      </c>
      <c r="B43" t="str">
        <v>0.0</v>
      </c>
      <c r="C43">
        <v>4</v>
      </c>
    </row>
    <row r="47" spans="1:4" x14ac:dyDescent="0.5">
      <c r="A47" t="str" cm="1">
        <f t="array" ref="A47">_xlfn._xlws.PY(9,0)</f>
        <v>Cramér's V: 0.43</v>
      </c>
    </row>
    <row r="51" spans="1:4" x14ac:dyDescent="0.5">
      <c r="A51" cm="1" vm="2">
        <f t="array" ref="A51">_xlfn._xlws.PY(10,1)</f>
        <v>0</v>
      </c>
    </row>
    <row r="53" spans="1:4" x14ac:dyDescent="0.5">
      <c r="A53" t="str" cm="1">
        <f t="array" ref="A53:D54">_xlfn._xlws.PY(11,0)</f>
        <v>Original mean</v>
      </c>
      <c r="B53" t="str">
        <v>95% CI lower</v>
      </c>
      <c r="C53" t="str">
        <v>95% CI upper</v>
      </c>
      <c r="D53" t="str">
        <v>CI width</v>
      </c>
    </row>
    <row r="54" spans="1:4" x14ac:dyDescent="0.5">
      <c r="A54">
        <v>30.45</v>
      </c>
      <c r="B54">
        <v>29.08</v>
      </c>
      <c r="C54">
        <v>31.94</v>
      </c>
      <c r="D54">
        <v>2.86</v>
      </c>
    </row>
    <row r="57" spans="1:4" x14ac:dyDescent="0.5">
      <c r="A57" t="e" cm="1" vm="3">
        <f t="array" ref="A57">_xlfn._xlws.PY(12,0)</f>
        <v>#VALUE!</v>
      </c>
    </row>
    <row r="71" spans="1:4" x14ac:dyDescent="0.5">
      <c r="A71" t="str" cm="1">
        <f t="array" ref="A71:D73">_xlfn._xlws.PY(13,0)</f>
        <v>Group</v>
      </c>
      <c r="B71" t="str">
        <v>Mean</v>
      </c>
      <c r="C71" t="str">
        <v>CI Lower (2.5%)</v>
      </c>
      <c r="D71" t="str">
        <v>CI Upper (97.5%)</v>
      </c>
    </row>
    <row r="72" spans="1:4" x14ac:dyDescent="0.5">
      <c r="A72" t="str">
        <v>Japan</v>
      </c>
      <c r="B72" s="1">
        <v>30.450632911392404</v>
      </c>
      <c r="C72" s="1">
        <v>29.232120253164553</v>
      </c>
      <c r="D72" s="1">
        <v>31.810158227848103</v>
      </c>
    </row>
    <row r="73" spans="1:4" x14ac:dyDescent="0.5">
      <c r="A73" t="str">
        <v>Europe</v>
      </c>
      <c r="B73" s="1">
        <v>27.89142857142857</v>
      </c>
      <c r="C73" s="1">
        <v>26.298464285714289</v>
      </c>
      <c r="D73" s="1">
        <v>29.408678571428577</v>
      </c>
    </row>
    <row r="79" spans="1:4" x14ac:dyDescent="0.5">
      <c r="A79" t="e" cm="1" vm="4">
        <f t="array" ref="A79">_xlfn._xlws.PY(14,0)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2026-04-02T21:02:49Z</dcterms:created>
  <dcterms:modified xsi:type="dcterms:W3CDTF">2026-04-13T21:24:07Z</dcterms:modified>
</cp:coreProperties>
</file>