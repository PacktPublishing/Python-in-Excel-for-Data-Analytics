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Python-in-Excel-for-Data-Analytics\ch_05\"/>
    </mc:Choice>
  </mc:AlternateContent>
  <xr:revisionPtr revIDLastSave="0" documentId="13_ncr:1_{B62E5C87-FECC-4F76-9C62-ED0F69C35806}" xr6:coauthVersionLast="47" xr6:coauthVersionMax="47" xr10:uidLastSave="{00000000-0000-0000-0000-000000000000}"/>
  <bookViews>
    <workbookView xWindow="-98" yWindow="-98" windowWidth="18915" windowHeight="12676" xr2:uid="{00000000-000D-0000-FFFF-FFFF00000000}"/>
  </bookViews>
  <sheets>
    <sheet name="data" sheetId="1" r:id="rId1"/>
    <sheet name="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 a="1"/>
  <c r="A1" i="2" s="1" a="1"/>
  <c r="A8" i="2" s="1" a="1"/>
  <c r="A12" i="2" s="1" a="1"/>
  <c r="A14" i="2" s="1" a="1"/>
  <c r="A17" i="2" s="1" a="1"/>
  <c r="A23" i="2" s="1" a="1"/>
  <c r="A34" i="2" s="1" a="1"/>
  <c r="A42" i="2" s="1" a="1"/>
  <c r="A47" i="2" s="1" a="1"/>
  <c r="A51" i="2" l="1" a="1"/>
  <c r="A53" i="2" s="1" a="1"/>
  <c r="A57" i="2" s="1" a="1"/>
  <c r="A71" i="2" l="1" a="1"/>
  <c r="A79" i="2" s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2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from scipy import stats
mpg_df = xl(%P2%, headers=True)</code>
    </pythonScript>
    <pythonScript>
      <code>mpg_df.groupby('origin')['mpg'].describe()</code>
    </pythonScript>
    <pythonScript>
      <code>japan = mpg_df[mpg_df['origin'] == 'japan']['mpg']
europe = mpg_df[mpg_df['origin'] == 'europe']['mpg']
t_stat, p_value = stats.ttest_ind(japan, europe)
pd.DataFrame({
    'Test statistic': [round(t_stat, 4)],
    'p-value': [round(p_value, 4)],
    'Japan mean': [round(japan.mean(), 2)],
    'Europe mean': [round(europe.mean(), 2)],
    'Difference': [round(japan.mean() - europe.mean(), 2)]
})</code>
    </pythonScript>
    <pythonScript>
      <code>n_japan = len(japan)
n_europe = len(europe)
pooled_std = np.sqrt(
    ((n_japan - 1) * japan.std()**2 + (n_europe - 1) * europe.std()**2)
    / (n_japan + n_europe - 2))
cohens_d = (japan.mean() - europe.mean()) / pooled_std
f"Cohen's d (effect size): {cohens_d:.4f}"</code>
    </pythonScript>
    <pythonScript>
      <code>usa = mpg_df[mpg_df['origin'] == 'usa']['mpg']
f_stat, p_value = stats.f_oneway(usa, europe, japan)
pd.DataFrame({
    'F-statistic': [round(f_stat, 2)],
    'p-value': [str(round(p_value, 2))],
    'USA mean': [round(usa.mean(), 2)],
    'Europe mean': [round(europe.mean(), 2)],
    'Japan mean': [round(japan.mean(), 2)]
})</code>
    </pythonScript>
    <pythonScript>
      <code>from statsmodels.stats.multicomp import pairwise_tukeyhsd
tukey = pairwise_tukeyhsd(mpg_df['mpg'], mpg_df['origin'], alpha=0.05)
tukey_df = pd.DataFrame(
    data=tukey._results_table.data[1:],
    columns=tukey._results_table.data[0])
tukey_df</code>
    </pythonScript>
    <pythonScript>
      <code>mpg_df['engine_size'] = pd.cut(
    mpg_df['cylinders'],
    bins=[0, 4, 6, 8],
    labels=['Small (3-4)', 'Medium (5-6)', 'Large (8)'])
mpg_df[['origin', 'cylinders', 'engine_size']].value_counts()</code>
    </pythonScript>
    <pythonScript>
      <code>ct = pd.crosstab(mpg_df['origin'], mpg_df['engine_size'])
ct</code>
    </pythonScript>
    <pythonScript>
      <code>chi2, p_value, dof, expected = stats.chi2_contingency(ct)
pd.DataFrame({
    'Chi-square statistic': [round(chi2, 2)],
    'p-value': [str(round(p_value, 4))],
    'Degrees of freedom': [dof]
})</code>
    </pythonScript>
    <pythonScript>
      <code xml:space="preserve">n = ct.sum().sum() 
k = min(ct.shape) - 1 
cramers_v = np.sqrt(chi2 / (n * k)) 
f"Cramér's V: {cramers_v:.2f}" </code>
    </pythonScript>
    <pythonScript>
      <code>np.random.seed(42)
n_resamples = 1000
boot_means = []
for i in range(n_resamples):
    resample = np.random.choice(japan.values, size=len(japan), replace=True)
    resample_mean = np.mean(resample)
    boot_means.append(resample_mean)</code>
    </pythonScript>
    <pythonScript>
      <code>lower = np.percentile(boot_means, 2.5)
upper = np.percentile(boot_means, 97.5)
pd.DataFrame({
    'Original mean': [round(japan.mean(), 2)],
    '95%% CI lower': [round(lower, 2)],
    '95%% CI upper': [round(upper, 2)],
    'CI width': [round(upper - lower, 2)]
})</code>
    </pythonScript>
    <pythonScript>
      <code>plt.figure(figsize=(8, 5))
sns.histplot(
    boot_means,
    bins=30,
    color="steelblue",
    edgecolor="white",
    alpha=0.7
)
mean_val = japan.mean()
plt.axvline(
    lower,
    color="red",
    linestyle="--",
    linewidth=1.5,
    label=f"95%% CI lower ({lower:.2f})"
)
plt.axvline(
    upper,
    color="red",
    linestyle="--",
    linewidth=1.5,
    label=f"95%% CI upper ({upper:.2f})"
)
plt.axvline(
    mean_val,
    color="black",
    linestyle="-",
    linewidth=2,
    label=f"Sample mean ({mean_val:.2f})"
)
plt.xlabel("Mean MPG")
plt.ylabel("Frequency")
plt.title("Bootstrap Distribution of Mean MPG (Japanese Cars)")
plt.legend(frameon=False)
plt.tight_layout()</code>
    </pythonScript>
    <pythonScript>
      <code>np.random.seed(42)
boot_japan = []
boot_europe = []
for i in range(n_resamples):
    japan_resample = np.random.choice(japan.values, size=len(japan), replace=True)
    boot_japan.append(np.mean(japan_resample))
    europe_resample = np.random.choice(europe.values, size=len(europe), replace=True)
    boot_europe.append(np.mean(europe_resample))
japan_ci = np.percentile(boot_japan, [2.5, 97.5])
europe_ci = np.percentile(boot_europe, [2.5, 97.5])
results_df = pd.DataFrame({
    "Group": ["Japan", "Europe"],
    "Mean": [np.mean(japan), np.mean(europe)],
    "CI Lower (2.5%%)": [japan_ci[0], europe_ci[0]],
    "CI Upper (97.5%%)": [japan_ci[1], europe_ci[1]]
})</code>
    </pythonScript>
    <pythonScript>
      <code>plt.figure(figsize=(8, 5))
sns.histplot(boot_japan, bins=30, alpha=0.5, color='steelblue',
             label='Japan', edgecolor='white')
sns.histplot(boot_europe, bins=30, alpha=0.5, color='coral',
             label='Europe', edgecolor='white')
plt.axvline(japan_ci[0], color='steelblue', linestyle='--', linewidth=1.5)
plt.axvline(japan_ci[1], color='steelblue', linestyle='--', linewidth=1.5)
plt.axvline(europe_ci[0], color='coral', linestyle='--', linewidth=1.5)
plt.axvline(europe_ci[1], color='coral', linestyle='--', linewidth=1.5)
plt.xlabel('Mean MPG')
plt.ylabel('Frequency')
plt.title('Bootstrap Distributions: Japan vs. Europe')
plt.legend()</code>
    </pythonScript>
  </pythonScripts>
</python>
</file>

<file path=xl/sharedStrings.xml><?xml version="1.0" encoding="utf-8"?>
<sst xmlns="http://schemas.openxmlformats.org/spreadsheetml/2006/main" count="805" uniqueCount="317">
  <si>
    <t>mpg</t>
  </si>
  <si>
    <t>cylinders</t>
  </si>
  <si>
    <t>displacement</t>
  </si>
  <si>
    <t>horsepower</t>
  </si>
  <si>
    <t>weight</t>
  </si>
  <si>
    <t>acceleration</t>
  </si>
  <si>
    <t>origin</t>
  </si>
  <si>
    <t>model_year</t>
  </si>
  <si>
    <t>name</t>
  </si>
  <si>
    <t>usa</t>
  </si>
  <si>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</si>
  <si>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</si>
  <si>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</si>
  <si>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</si>
  <si>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</si>
  <si>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</si>
  <si>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</si>
  <si>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</si>
  <si>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</si>
  <si>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</si>
  <si>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</si>
  <si>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</si>
  <si>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</si>
  <si>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</si>
  <si>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japan</t>
  </si>
  <si>
    <t>toyota corona mark ii</t>
  </si>
  <si>
    <t>plymouth duster</t>
  </si>
  <si>
    <t>amc hornet</t>
  </si>
  <si>
    <t>ford maverick</t>
  </si>
  <si>
    <t>datsun pl510</t>
  </si>
  <si>
    <t>europe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</si>
  <si>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</si>
  <si>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</si>
  <si>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</si>
  <si>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</si>
  <si>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</si>
  <si>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</si>
  <si>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</si>
  <si>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</si>
  <si>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</si>
  <si>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</si>
  <si>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</si>
  <si>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</si>
  <si>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ford pinto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</si>
  <si>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</si>
  <si>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</si>
  <si>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</si>
  <si>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</si>
  <si>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</si>
  <si>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</si>
  <si>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</si>
  <si>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</si>
  <si>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</si>
  <si>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</si>
  <si>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</si>
  <si>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</si>
  <si>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</si>
  <si>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</si>
  <si>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</si>
  <si>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</si>
  <si>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</si>
  <si>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</si>
  <si>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</si>
  <si>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</si>
  <si>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</si>
  <si>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</si>
  <si>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</si>
  <si>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</si>
  <si>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</si>
  <si>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</si>
  <si>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</si>
  <si>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</si>
  <si>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</si>
  <si>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</si>
  <si>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</si>
  <si>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chevrolet chevelle concours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</si>
  <si>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</si>
  <si>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</si>
  <si>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</si>
  <si>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</si>
  <si>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</si>
  <si>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</si>
  <si>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</si>
  <si>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</si>
  <si>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</si>
  <si>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</si>
  <si>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</si>
  <si>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</si>
  <si>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</si>
  <si>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</si>
  <si>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</si>
  <si>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</si>
  <si>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</si>
  <si>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</si>
  <si>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</si>
  <si>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</si>
  <si>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</si>
  <si>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</si>
  <si>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</si>
  <si>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</si>
  <si>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</si>
  <si>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</si>
  <si>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</si>
  <si>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</si>
  <si>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</si>
  <si>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</si>
  <si>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</si>
  <si>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</si>
  <si>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</si>
  <si>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</si>
  <si>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</si>
  <si>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</si>
  <si>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</si>
  <si>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</si>
  <si>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</si>
  <si>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</si>
  <si>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</si>
  <si>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</si>
  <si>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</si>
  <si>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</si>
  <si>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</si>
  <si>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</si>
  <si>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</si>
  <si>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</si>
  <si>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</si>
  <si>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</si>
  <si>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</si>
  <si>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</si>
  <si>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</si>
  <si>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</si>
  <si>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</si>
  <si>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</si>
  <si>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</si>
  <si>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</si>
  <si>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</si>
  <si>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</si>
  <si>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</si>
  <si>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</si>
  <si>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</si>
  <si>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</si>
  <si>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</si>
  <si>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</si>
  <si>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</si>
  <si>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</si>
  <si>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</si>
  <si>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</si>
  <si>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</si>
  <si>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</si>
  <si>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</si>
  <si>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</si>
  <si>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</si>
  <si>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</si>
  <si>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</si>
  <si>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</si>
  <si>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</si>
  <si>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</si>
  <si>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</si>
  <si>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</si>
  <si>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</si>
  <si>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</si>
  <si>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</si>
  <si>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</si>
  <si>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</si>
  <si>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</si>
  <si>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</si>
  <si>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</si>
  <si>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</si>
  <si>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</si>
  <si>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</si>
  <si>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</si>
  <si>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</si>
  <si>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</si>
  <si>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</si>
  <si>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</si>
  <si>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</si>
  <si>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</si>
  <si>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</si>
  <si>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</si>
  <si>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</si>
  <si>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</si>
  <si>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</si>
  <si>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</si>
  <si>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</si>
  <si>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</si>
  <si>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</si>
  <si>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</si>
  <si>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</si>
  <si>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</si>
  <si>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</si>
  <si>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</si>
  <si>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</si>
  <si>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</si>
  <si>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</si>
  <si>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</si>
  <si>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</si>
  <si>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</si>
  <si>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</si>
  <si>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</si>
  <si>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</si>
  <si>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</si>
  <si>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</si>
  <si>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</si>
  <si>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</si>
  <si>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</si>
  <si>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</si>
  <si>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</si>
  <si>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</si>
  <si>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</si>
  <si>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</si>
  <si>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</si>
  <si>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</si>
  <si>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</si>
  <si>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</si>
  <si>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</si>
  <si>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</si>
  <si>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</si>
  <si>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</si>
  <si>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</si>
  <si>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</si>
  <si>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</si>
  <si>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</si>
  <si>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</si>
  <si>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</si>
  <si>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</si>
  <si>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</si>
  <si>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</si>
  <si>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</si>
  <si>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</si>
  <si>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</si>
  <si>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</si>
  <si>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</si>
  <si>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</si>
  <si>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</si>
  <si>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</si>
  <si>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</si>
  <si>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</si>
  <si>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</si>
  <si>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</si>
  <si>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</si>
  <si>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</si>
  <si>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</si>
  <si>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</si>
  <si>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</si>
  <si>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</si>
  <si>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</si>
  <si>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</si>
  <si>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</si>
  <si>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</si>
  <si>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</si>
  <si>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</si>
  <si>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</si>
  <si>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</si>
  <si>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</si>
  <si>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</si>
  <si>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</si>
  <si>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</si>
  <si>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</si>
  <si>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</si>
  <si>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</si>
  <si>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</si>
  <si>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</si>
  <si>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renault lecar deluxe</t>
  </si>
  <si>
    <t>vokswagen rabbit</t>
  </si>
  <si>
    <t>datsun 280-zx</t>
  </si>
  <si>
    <t>mazda rx-7 gs</t>
  </si>
  <si>
    <t>triumph tr7 coupe</t>
  </si>
  <si>
    <t>ford mustang cobra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</si>
  <si>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</si>
  <si>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</si>
  <si>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</si>
  <si>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</si>
  <si>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</si>
  <si>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</si>
  <si>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</si>
  <si>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</si>
  <si>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</si>
  <si>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</si>
  <si>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</si>
  <si>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</si>
  <si>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</si>
  <si>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renault 18i</t>
  </si>
  <si>
    <t>honda prelude</t>
  </si>
  <si>
    <t>datsun 200sx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</si>
  <si>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</si>
  <si>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</si>
  <si>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</si>
  <si>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</si>
  <si>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</si>
  <si>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</si>
  <si>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</si>
  <si>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</si>
  <si>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</si>
  <si>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</si>
  <si>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</si>
  <si>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</si>
  <si>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</si>
  <si>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amc concord dl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</si>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</sst>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SupportingPropertyBag" Target="richData/rdsupportingpropertybag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ichStyles" Target="richData/richStyles.xml"/><Relationship Id="rId5" Type="http://schemas.openxmlformats.org/officeDocument/2006/relationships/sharedStrings" Target="sharedStrings.xml"/><Relationship Id="rId15" Type="http://schemas.openxmlformats.org/officeDocument/2006/relationships/calcChain" Target="calcChain.xml"/><Relationship Id="rId10" Type="http://schemas.microsoft.com/office/2017/06/relationships/rdArray" Target="richData/rdarray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694267</xdr:colOff>
      <xdr:row>55</xdr:row>
      <xdr:rowOff>135466</xdr:rowOff>
    </xdr:from>
    <xdr:to>
      <xdr:col>7</xdr:col>
      <xdr:colOff>100013</xdr:colOff>
      <xdr:row>67</xdr:row>
      <xdr:rowOff>1524655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07EEE737-EEEA-181E-0103-9F96D71613E2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tats!A57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267" y="10089091"/>
          <a:ext cx="5273146" cy="3560889"/>
        </a:xfrm>
        <a:prstGeom prst="rect">
          <a:avLst/>
        </a:prstGeom>
      </xdr:spPr>
    </xdr:pic>
    <xdr:clientData/>
  </xdr:twoCellAnchor>
  <xdr:twoCellAnchor editAs="oneCell">
    <xdr:from>
      <xdr:col>1</xdr:col>
      <xdr:colOff>21168</xdr:colOff>
      <xdr:row>77</xdr:row>
      <xdr:rowOff>118532</xdr:rowOff>
    </xdr:from>
    <xdr:to>
      <xdr:col>8</xdr:col>
      <xdr:colOff>390525</xdr:colOff>
      <xdr:row>100</xdr:row>
      <xdr:rowOff>158234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51B270E9-C7E7-1B39-4EB7-2A3AB66E1F1A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tats!A79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9368" y="15439495"/>
          <a:ext cx="6236757" cy="420212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10">
    <v t="s"/>
    <v t="s">mpg</v>
    <v t="s">cylinders</v>
    <v t="s">displacement</v>
    <v t="s">horsepower</v>
    <v t="s">weight</v>
    <v t="s">acceleration</v>
    <v t="s">model_year</v>
    <v t="s">origin</v>
    <v t="s">name</v>
    <v>0</v>
    <v>18</v>
    <v>8</v>
    <v>307</v>
    <v>130</v>
    <v>3504</v>
    <v>12</v>
    <v>70</v>
    <v t="s">usa</v>
    <v t="s">chevrolet chevelle malibu</v>
    <v>1</v>
    <v>15</v>
    <v>8</v>
    <v>350</v>
    <v>165</v>
    <v>3693</v>
    <v>11.5</v>
    <v>70</v>
    <v t="s">usa</v>
    <v t="s">buick skylark 320</v>
    <v>2</v>
    <v>18</v>
    <v>8</v>
    <v>318</v>
    <v>150</v>
    <v>3436</v>
    <v>11</v>
    <v>70</v>
    <v t="s">usa</v>
    <v t="s">plymouth satellite</v>
    <v>3</v>
    <v>16</v>
    <v>8</v>
    <v>304</v>
    <v>150</v>
    <v>3433</v>
    <v>12</v>
    <v>70</v>
    <v t="s">usa</v>
    <v t="s">amc rebel sst</v>
    <v>4</v>
    <v>17</v>
    <v>8</v>
    <v>302</v>
    <v>140</v>
    <v>3449</v>
    <v>10.5</v>
    <v>70</v>
    <v t="s">usa</v>
    <v t="s">ford torino</v>
    <v t="s">...</v>
    <v t="s">...</v>
    <v t="s">...</v>
    <v t="s">...</v>
    <v t="s">...</v>
    <v t="s">...</v>
    <v t="s">...</v>
    <v t="s">...</v>
    <v t="s">...</v>
    <v t="s">...</v>
    <v>393</v>
    <v>27</v>
    <v>4</v>
    <v>140</v>
    <v>86</v>
    <v>2790</v>
    <v>15.6</v>
    <v>82</v>
    <v t="s">usa</v>
    <v t="s">ford mustang gl</v>
    <v>394</v>
    <v>44</v>
    <v>4</v>
    <v>97</v>
    <v>52</v>
    <v>2130</v>
    <v>24.6</v>
    <v>82</v>
    <v t="s">europe</v>
    <v t="s">vw pickup</v>
    <v>395</v>
    <v>32</v>
    <v>4</v>
    <v>135</v>
    <v>84</v>
    <v>2295</v>
    <v>11.6</v>
    <v>82</v>
    <v t="s">usa</v>
    <v t="s">dodge rampage</v>
    <v>396</v>
    <v>28</v>
    <v>4</v>
    <v>120</v>
    <v>79</v>
    <v>2625</v>
    <v>18.600000000000001</v>
    <v>82</v>
    <v t="s">usa</v>
    <v t="s">ford ranger</v>
    <v>397</v>
    <v>31</v>
    <v>4</v>
    <v>119</v>
    <v>82</v>
    <v>2720</v>
    <v>19.399999999999999</v>
    <v>82</v>
    <v t="s">usa</v>
    <v t="s">chevy s-10</v>
  </a>
</arrayData>
</file>

<file path=xl/richData/rdrichvalue.xml><?xml version="1.0" encoding="utf-8"?>
<rvData xmlns="http://schemas.microsoft.com/office/spreadsheetml/2017/richdata" count="7">
  <rv s="0">
    <v>0</v>
  </rv>
  <rv s="1">
    <v>DataFrame</v>
    <v>1</v>
    <v>0</v>
  </rv>
  <rv s="2">
    <v>&lt;class 'pandas.core.frame.DataFrame'&gt;</v>
    <v>DataFrame</v>
    <v xml:space="preserve">      mpg  cylinders  displacement  horsepower  weight  acceleration  \
0    18.0          8         307.0       130.0    3504          12.0   
1    15.0          8         350.0       165.0    3693          11.5   
2    18.0          8         318.0  ...</v>
    <v>1</v>
    <v>2</v>
  </rv>
  <rv s="3">
    <fb>0</fb>
    <v>3</v>
  </rv>
  <rv s="2">
    <fb>0</fb>
    <v>&lt;class 'NoneType'&gt;</v>
    <v>NoneType</v>
    <v>None</v>
    <v>3</v>
    <v>2</v>
  </rv>
  <rv s="4">
    <v>0</v>
    <v>9</v>
    <v>Image generated by Python</v>
  </rv>
  <rv s="4">
    <v>1</v>
    <v>9</v>
    <v>Image generated by Python</v>
  </rv>
</rvData>
</file>

<file path=xl/richData/rdrichvaluestructure.xml><?xml version="1.0" encoding="utf-8"?>
<rvStructures xmlns="http://schemas.microsoft.com/office/spreadsheetml/2017/richdata" count="5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formattednumber">
    <k n="_Format" t="spb"/>
  </s>
  <s t="_localImage">
    <k n="_rvRel:LocalImageIdentifier" t="i"/>
    <k n="CalcOrigin" t="i"/>
    <k n="Text" t="s"/>
  </s>
</rvStructures>
</file>

<file path=xl/richData/rdsupportingpropertybag.xml><?xml version="1.0" encoding="utf-8"?>
<supportingPropertyBags xmlns="http://schemas.microsoft.com/office/spreadsheetml/2017/richdata2">
  <spbData count="4">
    <spb s="0">
      <v>398</v>
      <v>9</v>
      <v>DataFrame</v>
      <v>arrayPreview</v>
      <v>1</v>
    </spb>
    <spb s="1">
      <v>0</v>
    </spb>
    <spb s="2">
      <v>https://www.anaconda.com/excel</v>
      <v>https://res.cdn.office.net/officepysvc/prod-preview/anacondalogo.png</v>
      <v>Python provided by Anaconda</v>
    </spb>
    <spb s="3">
      <v>1</v>
    </spb>
  </spbData>
</supportingPropertyBags>
</file>

<file path=xl/richData/rdsupportingpropertybagstructure.xml><?xml version="1.0" encoding="utf-8"?>
<spbStructures xmlns="http://schemas.microsoft.com/office/spreadsheetml/2017/richdata2" count="4">
  <s>
    <k n="drw" t="i"/>
    <k n="dcol" t="i"/>
    <k n="name" t="s"/>
    <k n="array" t="s"/>
    <k n="headers" t="b"/>
  </s>
  <s>
    <k n="ArrayCardInfo" t="spb"/>
  </s>
  <s>
    <k n="link" t="s"/>
    <k n="logo" t="s"/>
    <k n="name" t="s"/>
  </s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0;-0;"None"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7B42E4-C9E2-4294-8E04-0EFC324E0515}" name="mpg" displayName="mpg" ref="A1:I399" totalsRowShown="0">
  <autoFilter ref="A1:I399" xr:uid="{6B7B42E4-C9E2-4294-8E04-0EFC324E0515}"/>
  <tableColumns count="9">
    <tableColumn id="1" xr3:uid="{5D422A40-EF85-47C2-8AC1-C9D417ECA785}" name="mpg"/>
    <tableColumn id="2" xr3:uid="{5F9B69BC-5F9D-44F9-8570-FD4AAF6D60E6}" name="cylinders"/>
    <tableColumn id="3" xr3:uid="{16896D87-7F44-4DC7-BB7F-916662D45FE1}" name="displacement"/>
    <tableColumn id="4" xr3:uid="{FE40F50A-D7C6-49EB-A7E2-A96DB079EB22}" name="horsepower"/>
    <tableColumn id="5" xr3:uid="{8056D024-2E53-4B42-BC50-CA09141515AB}" name="weight"/>
    <tableColumn id="6" xr3:uid="{EEA1780E-66D7-4DCC-9CBF-F4337E38AF59}" name="acceleration"/>
    <tableColumn id="7" xr3:uid="{BF123EDE-301F-485C-B61A-7D4DB40E27C3}" name="model_year"/>
    <tableColumn id="8" xr3:uid="{E2DAA4D8-C7CB-44B8-86E7-BB466D37EC27}" name="origin"/>
    <tableColumn id="9" xr3:uid="{C2EB9D76-285A-468F-8EAB-B7249232E17D}" name="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9"/>
  <sheetViews>
    <sheetView tabSelected="1" workbookViewId="0"/>
  </sheetViews>
  <sheetFormatPr defaultRowHeight="14.25" x14ac:dyDescent="0.45"/>
  <cols>
    <col min="2" max="2" width="9.796875" customWidth="1"/>
    <col min="3" max="3" width="13.3984375" customWidth="1"/>
    <col min="4" max="4" width="12.3984375" customWidth="1"/>
    <col min="6" max="6" width="12.46484375" customWidth="1"/>
    <col min="7" max="7" width="12.19921875" customWidth="1"/>
    <col min="9" max="9" width="30.730468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8</v>
      </c>
      <c r="K1" t="e" cm="1" vm="1">
        <f t="array" ref="K1">_xlfn._xlws.PY(0,1,mpg[#All])</f>
        <v>#VALUE!</v>
      </c>
    </row>
    <row r="2" spans="1:11" x14ac:dyDescent="0.45">
      <c r="A2">
        <v>18</v>
      </c>
      <c r="B2">
        <v>8</v>
      </c>
      <c r="C2">
        <v>307</v>
      </c>
      <c r="D2">
        <v>130</v>
      </c>
      <c r="E2">
        <v>3504</v>
      </c>
      <c r="F2">
        <v>12</v>
      </c>
      <c r="G2">
        <v>70</v>
      </c>
      <c r="H2" t="s">
        <v>9</v>
      </c>
      <c r="I2" t="s">
        <v>10</v>
      </c>
    </row>
    <row r="3" spans="1:11" x14ac:dyDescent="0.45">
      <c r="A3">
        <v>15</v>
      </c>
      <c r="B3">
        <v>8</v>
      </c>
      <c r="C3">
        <v>350</v>
      </c>
      <c r="D3">
        <v>165</v>
      </c>
      <c r="E3">
        <v>3693</v>
      </c>
      <c r="F3">
        <v>11.5</v>
      </c>
      <c r="G3">
        <v>70</v>
      </c>
      <c r="H3" t="s">
        <v>9</v>
      </c>
      <c r="I3" t="s">
        <v>11</v>
      </c>
    </row>
    <row r="4" spans="1:11" x14ac:dyDescent="0.45">
      <c r="A4">
        <v>18</v>
      </c>
      <c r="B4">
        <v>8</v>
      </c>
      <c r="C4">
        <v>318</v>
      </c>
      <c r="D4">
        <v>150</v>
      </c>
      <c r="E4">
        <v>3436</v>
      </c>
      <c r="F4">
        <v>11</v>
      </c>
      <c r="G4">
        <v>70</v>
      </c>
      <c r="H4" t="s">
        <v>9</v>
      </c>
      <c r="I4" t="s">
        <v>12</v>
      </c>
    </row>
    <row r="5" spans="1:11" x14ac:dyDescent="0.45">
      <c r="A5">
        <v>16</v>
      </c>
      <c r="B5">
        <v>8</v>
      </c>
      <c r="C5">
        <v>304</v>
      </c>
      <c r="D5">
        <v>150</v>
      </c>
      <c r="E5">
        <v>3433</v>
      </c>
      <c r="F5">
        <v>12</v>
      </c>
      <c r="G5">
        <v>70</v>
      </c>
      <c r="H5" t="s">
        <v>9</v>
      </c>
      <c r="I5" t="s">
        <v>13</v>
      </c>
    </row>
    <row r="6" spans="1:11" x14ac:dyDescent="0.45">
      <c r="A6">
        <v>17</v>
      </c>
      <c r="B6">
        <v>8</v>
      </c>
      <c r="C6">
        <v>302</v>
      </c>
      <c r="D6">
        <v>140</v>
      </c>
      <c r="E6">
        <v>3449</v>
      </c>
      <c r="F6">
        <v>10.5</v>
      </c>
      <c r="G6">
        <v>70</v>
      </c>
      <c r="H6" t="s">
        <v>9</v>
      </c>
      <c r="I6" t="s">
        <v>14</v>
      </c>
    </row>
    <row r="7" spans="1:11" x14ac:dyDescent="0.45">
      <c r="A7">
        <v>15</v>
      </c>
      <c r="B7">
        <v>8</v>
      </c>
      <c r="C7">
        <v>429</v>
      </c>
      <c r="D7">
        <v>198</v>
      </c>
      <c r="E7">
        <v>4341</v>
      </c>
      <c r="F7">
        <v>10</v>
      </c>
      <c r="G7">
        <v>70</v>
      </c>
      <c r="H7" t="s">
        <v>9</v>
      </c>
      <c r="I7" t="s">
        <v>15</v>
      </c>
    </row>
    <row r="8" spans="1:11" x14ac:dyDescent="0.45">
      <c r="A8">
        <v>14</v>
      </c>
      <c r="B8">
        <v>8</v>
      </c>
      <c r="C8">
        <v>454</v>
      </c>
      <c r="D8">
        <v>220</v>
      </c>
      <c r="E8">
        <v>4354</v>
      </c>
      <c r="F8">
        <v>9</v>
      </c>
      <c r="G8">
        <v>70</v>
      </c>
      <c r="H8" t="s">
        <v>9</v>
      </c>
      <c r="I8" t="s">
        <v>16</v>
      </c>
    </row>
    <row r="9" spans="1:11" x14ac:dyDescent="0.45">
      <c r="A9">
        <v>14</v>
      </c>
      <c r="B9">
        <v>8</v>
      </c>
      <c r="C9">
        <v>440</v>
      </c>
      <c r="D9">
        <v>215</v>
      </c>
      <c r="E9">
        <v>4312</v>
      </c>
      <c r="F9">
        <v>8.5</v>
      </c>
      <c r="G9">
        <v>70</v>
      </c>
      <c r="H9" t="s">
        <v>9</v>
      </c>
      <c r="I9" t="s">
        <v>17</v>
      </c>
    </row>
    <row r="10" spans="1:11" x14ac:dyDescent="0.45">
      <c r="A10">
        <v>14</v>
      </c>
      <c r="B10">
        <v>8</v>
      </c>
      <c r="C10">
        <v>455</v>
      </c>
      <c r="D10">
        <v>225</v>
      </c>
      <c r="E10">
        <v>4425</v>
      </c>
      <c r="F10">
        <v>10</v>
      </c>
      <c r="G10">
        <v>70</v>
      </c>
      <c r="H10" t="s">
        <v>9</v>
      </c>
      <c r="I10" t="s">
        <v>18</v>
      </c>
    </row>
    <row r="11" spans="1:11" x14ac:dyDescent="0.45">
      <c r="A11">
        <v>15</v>
      </c>
      <c r="B11">
        <v>8</v>
      </c>
      <c r="C11">
        <v>390</v>
      </c>
      <c r="D11">
        <v>190</v>
      </c>
      <c r="E11">
        <v>3850</v>
      </c>
      <c r="F11">
        <v>8.5</v>
      </c>
      <c r="G11">
        <v>70</v>
      </c>
      <c r="H11" t="s">
        <v>9</v>
      </c>
      <c r="I11" t="s">
        <v>19</v>
      </c>
    </row>
    <row r="12" spans="1:11" x14ac:dyDescent="0.45">
      <c r="A12">
        <v>15</v>
      </c>
      <c r="B12">
        <v>8</v>
      </c>
      <c r="C12">
        <v>383</v>
      </c>
      <c r="D12">
        <v>170</v>
      </c>
      <c r="E12">
        <v>3563</v>
      </c>
      <c r="F12">
        <v>10</v>
      </c>
      <c r="G12">
        <v>70</v>
      </c>
      <c r="H12" t="s">
        <v>9</v>
      </c>
      <c r="I12" t="s">
        <v>20</v>
      </c>
    </row>
    <row r="13" spans="1:11" x14ac:dyDescent="0.45">
      <c r="A13">
        <v>14</v>
      </c>
      <c r="B13">
        <v>8</v>
      </c>
      <c r="C13">
        <v>340</v>
      </c>
      <c r="D13">
        <v>160</v>
      </c>
      <c r="E13">
        <v>3609</v>
      </c>
      <c r="F13">
        <v>8</v>
      </c>
      <c r="G13">
        <v>70</v>
      </c>
      <c r="H13" t="s">
        <v>9</v>
      </c>
      <c r="I13" t="s">
        <v>21</v>
      </c>
    </row>
    <row r="14" spans="1:11" x14ac:dyDescent="0.45">
      <c r="A14">
        <v>15</v>
      </c>
      <c r="B14">
        <v>8</v>
      </c>
      <c r="C14">
        <v>400</v>
      </c>
      <c r="D14">
        <v>150</v>
      </c>
      <c r="E14">
        <v>3761</v>
      </c>
      <c r="F14">
        <v>9.5</v>
      </c>
      <c r="G14">
        <v>70</v>
      </c>
      <c r="H14" t="s">
        <v>9</v>
      </c>
      <c r="I14" t="s">
        <v>22</v>
      </c>
    </row>
    <row r="15" spans="1:11" x14ac:dyDescent="0.45">
      <c r="A15">
        <v>14</v>
      </c>
      <c r="B15">
        <v>8</v>
      </c>
      <c r="C15">
        <v>455</v>
      </c>
      <c r="D15">
        <v>225</v>
      </c>
      <c r="E15">
        <v>3086</v>
      </c>
      <c r="F15">
        <v>10</v>
      </c>
      <c r="G15">
        <v>70</v>
      </c>
      <c r="H15" t="s">
        <v>9</v>
      </c>
      <c r="I15" t="s">
        <v>23</v>
      </c>
    </row>
    <row r="16" spans="1:11" x14ac:dyDescent="0.45">
      <c r="A16">
        <v>24</v>
      </c>
      <c r="B16">
        <v>4</v>
      </c>
      <c r="C16">
        <v>113</v>
      </c>
      <c r="D16">
        <v>95</v>
      </c>
      <c r="E16">
        <v>2372</v>
      </c>
      <c r="F16">
        <v>15</v>
      </c>
      <c r="G16">
        <v>70</v>
      </c>
      <c r="H16" t="s">
        <v>24</v>
      </c>
      <c r="I16" t="s">
        <v>25</v>
      </c>
    </row>
    <row r="17" spans="1:9" x14ac:dyDescent="0.45">
      <c r="A17">
        <v>22</v>
      </c>
      <c r="B17">
        <v>6</v>
      </c>
      <c r="C17">
        <v>198</v>
      </c>
      <c r="D17">
        <v>95</v>
      </c>
      <c r="E17">
        <v>2833</v>
      </c>
      <c r="F17">
        <v>15.5</v>
      </c>
      <c r="G17">
        <v>70</v>
      </c>
      <c r="H17" t="s">
        <v>9</v>
      </c>
      <c r="I17" t="s">
        <v>26</v>
      </c>
    </row>
    <row r="18" spans="1:9" x14ac:dyDescent="0.45">
      <c r="A18">
        <v>18</v>
      </c>
      <c r="B18">
        <v>6</v>
      </c>
      <c r="C18">
        <v>199</v>
      </c>
      <c r="D18">
        <v>97</v>
      </c>
      <c r="E18">
        <v>2774</v>
      </c>
      <c r="F18">
        <v>15.5</v>
      </c>
      <c r="G18">
        <v>70</v>
      </c>
      <c r="H18" t="s">
        <v>9</v>
      </c>
      <c r="I18" t="s">
        <v>27</v>
      </c>
    </row>
    <row r="19" spans="1:9" x14ac:dyDescent="0.45">
      <c r="A19">
        <v>21</v>
      </c>
      <c r="B19">
        <v>6</v>
      </c>
      <c r="C19">
        <v>200</v>
      </c>
      <c r="D19">
        <v>85</v>
      </c>
      <c r="E19">
        <v>2587</v>
      </c>
      <c r="F19">
        <v>16</v>
      </c>
      <c r="G19">
        <v>70</v>
      </c>
      <c r="H19" t="s">
        <v>9</v>
      </c>
      <c r="I19" t="s">
        <v>28</v>
      </c>
    </row>
    <row r="20" spans="1:9" x14ac:dyDescent="0.45">
      <c r="A20">
        <v>27</v>
      </c>
      <c r="B20">
        <v>4</v>
      </c>
      <c r="C20">
        <v>97</v>
      </c>
      <c r="D20">
        <v>88</v>
      </c>
      <c r="E20">
        <v>2130</v>
      </c>
      <c r="F20">
        <v>14.5</v>
      </c>
      <c r="G20">
        <v>70</v>
      </c>
      <c r="H20" t="s">
        <v>24</v>
      </c>
      <c r="I20" t="s">
        <v>29</v>
      </c>
    </row>
    <row r="21" spans="1:9" x14ac:dyDescent="0.45">
      <c r="A21">
        <v>26</v>
      </c>
      <c r="B21">
        <v>4</v>
      </c>
      <c r="C21">
        <v>97</v>
      </c>
      <c r="D21">
        <v>46</v>
      </c>
      <c r="E21">
        <v>1835</v>
      </c>
      <c r="F21">
        <v>20.5</v>
      </c>
      <c r="G21">
        <v>70</v>
      </c>
      <c r="H21" t="s">
        <v>30</v>
      </c>
      <c r="I21" t="s">
        <v>31</v>
      </c>
    </row>
    <row r="22" spans="1:9" x14ac:dyDescent="0.45">
      <c r="A22">
        <v>25</v>
      </c>
      <c r="B22">
        <v>4</v>
      </c>
      <c r="C22">
        <v>110</v>
      </c>
      <c r="D22">
        <v>87</v>
      </c>
      <c r="E22">
        <v>2672</v>
      </c>
      <c r="F22">
        <v>17.5</v>
      </c>
      <c r="G22">
        <v>70</v>
      </c>
      <c r="H22" t="s">
        <v>30</v>
      </c>
      <c r="I22" t="s">
        <v>32</v>
      </c>
    </row>
    <row r="23" spans="1:9" x14ac:dyDescent="0.45">
      <c r="A23">
        <v>24</v>
      </c>
      <c r="B23">
        <v>4</v>
      </c>
      <c r="C23">
        <v>107</v>
      </c>
      <c r="D23">
        <v>90</v>
      </c>
      <c r="E23">
        <v>2430</v>
      </c>
      <c r="F23">
        <v>14.5</v>
      </c>
      <c r="G23">
        <v>70</v>
      </c>
      <c r="H23" t="s">
        <v>30</v>
      </c>
      <c r="I23" t="s">
        <v>33</v>
      </c>
    </row>
    <row r="24" spans="1:9" x14ac:dyDescent="0.45">
      <c r="A24">
        <v>25</v>
      </c>
      <c r="B24">
        <v>4</v>
      </c>
      <c r="C24">
        <v>104</v>
      </c>
      <c r="D24">
        <v>95</v>
      </c>
      <c r="E24">
        <v>2375</v>
      </c>
      <c r="F24">
        <v>17.5</v>
      </c>
      <c r="G24">
        <v>70</v>
      </c>
      <c r="H24" t="s">
        <v>30</v>
      </c>
      <c r="I24" t="s">
        <v>34</v>
      </c>
    </row>
    <row r="25" spans="1:9" x14ac:dyDescent="0.45">
      <c r="A25">
        <v>26</v>
      </c>
      <c r="B25">
        <v>4</v>
      </c>
      <c r="C25">
        <v>121</v>
      </c>
      <c r="D25">
        <v>113</v>
      </c>
      <c r="E25">
        <v>2234</v>
      </c>
      <c r="F25">
        <v>12.5</v>
      </c>
      <c r="G25">
        <v>70</v>
      </c>
      <c r="H25" t="s">
        <v>30</v>
      </c>
      <c r="I25" t="s">
        <v>35</v>
      </c>
    </row>
    <row r="26" spans="1:9" x14ac:dyDescent="0.45">
      <c r="A26">
        <v>21</v>
      </c>
      <c r="B26">
        <v>6</v>
      </c>
      <c r="C26">
        <v>199</v>
      </c>
      <c r="D26">
        <v>90</v>
      </c>
      <c r="E26">
        <v>2648</v>
      </c>
      <c r="F26">
        <v>15</v>
      </c>
      <c r="G26">
        <v>70</v>
      </c>
      <c r="H26" t="s">
        <v>9</v>
      </c>
      <c r="I26" t="s">
        <v>36</v>
      </c>
    </row>
    <row r="27" spans="1:9" x14ac:dyDescent="0.45">
      <c r="A27">
        <v>10</v>
      </c>
      <c r="B27">
        <v>8</v>
      </c>
      <c r="C27">
        <v>360</v>
      </c>
      <c r="D27">
        <v>215</v>
      </c>
      <c r="E27">
        <v>4615</v>
      </c>
      <c r="F27">
        <v>14</v>
      </c>
      <c r="G27">
        <v>70</v>
      </c>
      <c r="H27" t="s">
        <v>9</v>
      </c>
      <c r="I27" t="s">
        <v>37</v>
      </c>
    </row>
    <row r="28" spans="1:9" x14ac:dyDescent="0.45">
      <c r="A28">
        <v>10</v>
      </c>
      <c r="B28">
        <v>8</v>
      </c>
      <c r="C28">
        <v>307</v>
      </c>
      <c r="D28">
        <v>200</v>
      </c>
      <c r="E28">
        <v>4376</v>
      </c>
      <c r="F28">
        <v>15</v>
      </c>
      <c r="G28">
        <v>70</v>
      </c>
      <c r="H28" t="s">
        <v>9</v>
      </c>
      <c r="I28" t="s">
        <v>38</v>
      </c>
    </row>
    <row r="29" spans="1:9" x14ac:dyDescent="0.45">
      <c r="A29">
        <v>11</v>
      </c>
      <c r="B29">
        <v>8</v>
      </c>
      <c r="C29">
        <v>318</v>
      </c>
      <c r="D29">
        <v>210</v>
      </c>
      <c r="E29">
        <v>4382</v>
      </c>
      <c r="F29">
        <v>13.5</v>
      </c>
      <c r="G29">
        <v>70</v>
      </c>
      <c r="H29" t="s">
        <v>9</v>
      </c>
      <c r="I29" t="s">
        <v>39</v>
      </c>
    </row>
    <row r="30" spans="1:9" x14ac:dyDescent="0.45">
      <c r="A30">
        <v>9</v>
      </c>
      <c r="B30">
        <v>8</v>
      </c>
      <c r="C30">
        <v>304</v>
      </c>
      <c r="D30">
        <v>193</v>
      </c>
      <c r="E30">
        <v>4732</v>
      </c>
      <c r="F30">
        <v>18.5</v>
      </c>
      <c r="G30">
        <v>70</v>
      </c>
      <c r="H30" t="s">
        <v>9</v>
      </c>
      <c r="I30" t="s">
        <v>40</v>
      </c>
    </row>
    <row r="31" spans="1:9" x14ac:dyDescent="0.45">
      <c r="A31">
        <v>27</v>
      </c>
      <c r="B31">
        <v>4</v>
      </c>
      <c r="C31">
        <v>97</v>
      </c>
      <c r="D31">
        <v>88</v>
      </c>
      <c r="E31">
        <v>2130</v>
      </c>
      <c r="F31">
        <v>14.5</v>
      </c>
      <c r="G31">
        <v>71</v>
      </c>
      <c r="H31" t="s">
        <v>24</v>
      </c>
      <c r="I31" t="s">
        <v>29</v>
      </c>
    </row>
    <row r="32" spans="1:9" x14ac:dyDescent="0.45">
      <c r="A32">
        <v>28</v>
      </c>
      <c r="B32">
        <v>4</v>
      </c>
      <c r="C32">
        <v>140</v>
      </c>
      <c r="D32">
        <v>90</v>
      </c>
      <c r="E32">
        <v>2264</v>
      </c>
      <c r="F32">
        <v>15.5</v>
      </c>
      <c r="G32">
        <v>71</v>
      </c>
      <c r="H32" t="s">
        <v>9</v>
      </c>
      <c r="I32" t="s">
        <v>41</v>
      </c>
    </row>
    <row r="33" spans="1:9" x14ac:dyDescent="0.45">
      <c r="A33">
        <v>25</v>
      </c>
      <c r="B33">
        <v>4</v>
      </c>
      <c r="C33">
        <v>113</v>
      </c>
      <c r="D33">
        <v>95</v>
      </c>
      <c r="E33">
        <v>2228</v>
      </c>
      <c r="F33">
        <v>14</v>
      </c>
      <c r="G33">
        <v>71</v>
      </c>
      <c r="H33" t="s">
        <v>24</v>
      </c>
      <c r="I33" t="s">
        <v>42</v>
      </c>
    </row>
    <row r="34" spans="1:9" x14ac:dyDescent="0.45">
      <c r="A34">
        <v>25</v>
      </c>
      <c r="B34">
        <v>4</v>
      </c>
      <c r="C34">
        <v>98</v>
      </c>
      <c r="E34">
        <v>2046</v>
      </c>
      <c r="F34">
        <v>19</v>
      </c>
      <c r="G34">
        <v>71</v>
      </c>
      <c r="H34" t="s">
        <v>9</v>
      </c>
      <c r="I34" t="s">
        <v>43</v>
      </c>
    </row>
    <row r="35" spans="1:9" x14ac:dyDescent="0.45">
      <c r="A35">
        <v>19</v>
      </c>
      <c r="B35">
        <v>6</v>
      </c>
      <c r="C35">
        <v>232</v>
      </c>
      <c r="D35">
        <v>100</v>
      </c>
      <c r="E35">
        <v>2634</v>
      </c>
      <c r="F35">
        <v>13</v>
      </c>
      <c r="G35">
        <v>71</v>
      </c>
      <c r="H35" t="s">
        <v>9</v>
      </c>
      <c r="I35" t="s">
        <v>36</v>
      </c>
    </row>
    <row r="36" spans="1:9" x14ac:dyDescent="0.45">
      <c r="A36">
        <v>16</v>
      </c>
      <c r="B36">
        <v>6</v>
      </c>
      <c r="C36">
        <v>225</v>
      </c>
      <c r="D36">
        <v>105</v>
      </c>
      <c r="E36">
        <v>3439</v>
      </c>
      <c r="F36">
        <v>15.5</v>
      </c>
      <c r="G36">
        <v>71</v>
      </c>
      <c r="H36" t="s">
        <v>9</v>
      </c>
      <c r="I36" t="s">
        <v>44</v>
      </c>
    </row>
    <row r="37" spans="1:9" x14ac:dyDescent="0.45">
      <c r="A37">
        <v>17</v>
      </c>
      <c r="B37">
        <v>6</v>
      </c>
      <c r="C37">
        <v>250</v>
      </c>
      <c r="D37">
        <v>100</v>
      </c>
      <c r="E37">
        <v>3329</v>
      </c>
      <c r="F37">
        <v>15.5</v>
      </c>
      <c r="G37">
        <v>71</v>
      </c>
      <c r="H37" t="s">
        <v>9</v>
      </c>
      <c r="I37" t="s">
        <v>10</v>
      </c>
    </row>
    <row r="38" spans="1:9" x14ac:dyDescent="0.45">
      <c r="A38">
        <v>19</v>
      </c>
      <c r="B38">
        <v>6</v>
      </c>
      <c r="C38">
        <v>250</v>
      </c>
      <c r="D38">
        <v>88</v>
      </c>
      <c r="E38">
        <v>3302</v>
      </c>
      <c r="F38">
        <v>15.5</v>
      </c>
      <c r="G38">
        <v>71</v>
      </c>
      <c r="H38" t="s">
        <v>9</v>
      </c>
      <c r="I38" t="s">
        <v>45</v>
      </c>
    </row>
    <row r="39" spans="1:9" x14ac:dyDescent="0.45">
      <c r="A39">
        <v>18</v>
      </c>
      <c r="B39">
        <v>6</v>
      </c>
      <c r="C39">
        <v>232</v>
      </c>
      <c r="D39">
        <v>100</v>
      </c>
      <c r="E39">
        <v>3288</v>
      </c>
      <c r="F39">
        <v>15.5</v>
      </c>
      <c r="G39">
        <v>71</v>
      </c>
      <c r="H39" t="s">
        <v>9</v>
      </c>
      <c r="I39" t="s">
        <v>46</v>
      </c>
    </row>
    <row r="40" spans="1:9" x14ac:dyDescent="0.45">
      <c r="A40">
        <v>14</v>
      </c>
      <c r="B40">
        <v>8</v>
      </c>
      <c r="C40">
        <v>350</v>
      </c>
      <c r="D40">
        <v>165</v>
      </c>
      <c r="E40">
        <v>4209</v>
      </c>
      <c r="F40">
        <v>12</v>
      </c>
      <c r="G40">
        <v>71</v>
      </c>
      <c r="H40" t="s">
        <v>9</v>
      </c>
      <c r="I40" t="s">
        <v>16</v>
      </c>
    </row>
    <row r="41" spans="1:9" x14ac:dyDescent="0.45">
      <c r="A41">
        <v>14</v>
      </c>
      <c r="B41">
        <v>8</v>
      </c>
      <c r="C41">
        <v>400</v>
      </c>
      <c r="D41">
        <v>175</v>
      </c>
      <c r="E41">
        <v>4464</v>
      </c>
      <c r="F41">
        <v>11.5</v>
      </c>
      <c r="G41">
        <v>71</v>
      </c>
      <c r="H41" t="s">
        <v>9</v>
      </c>
      <c r="I41" t="s">
        <v>47</v>
      </c>
    </row>
    <row r="42" spans="1:9" x14ac:dyDescent="0.45">
      <c r="A42">
        <v>14</v>
      </c>
      <c r="B42">
        <v>8</v>
      </c>
      <c r="C42">
        <v>351</v>
      </c>
      <c r="D42">
        <v>153</v>
      </c>
      <c r="E42">
        <v>4154</v>
      </c>
      <c r="F42">
        <v>13.5</v>
      </c>
      <c r="G42">
        <v>71</v>
      </c>
      <c r="H42" t="s">
        <v>9</v>
      </c>
      <c r="I42" t="s">
        <v>15</v>
      </c>
    </row>
    <row r="43" spans="1:9" x14ac:dyDescent="0.45">
      <c r="A43">
        <v>14</v>
      </c>
      <c r="B43">
        <v>8</v>
      </c>
      <c r="C43">
        <v>318</v>
      </c>
      <c r="D43">
        <v>150</v>
      </c>
      <c r="E43">
        <v>4096</v>
      </c>
      <c r="F43">
        <v>13</v>
      </c>
      <c r="G43">
        <v>71</v>
      </c>
      <c r="H43" t="s">
        <v>9</v>
      </c>
      <c r="I43" t="s">
        <v>17</v>
      </c>
    </row>
    <row r="44" spans="1:9" x14ac:dyDescent="0.45">
      <c r="A44">
        <v>12</v>
      </c>
      <c r="B44">
        <v>8</v>
      </c>
      <c r="C44">
        <v>383</v>
      </c>
      <c r="D44">
        <v>180</v>
      </c>
      <c r="E44">
        <v>4955</v>
      </c>
      <c r="F44">
        <v>11.5</v>
      </c>
      <c r="G44">
        <v>71</v>
      </c>
      <c r="H44" t="s">
        <v>9</v>
      </c>
      <c r="I44" t="s">
        <v>48</v>
      </c>
    </row>
    <row r="45" spans="1:9" x14ac:dyDescent="0.45">
      <c r="A45">
        <v>13</v>
      </c>
      <c r="B45">
        <v>8</v>
      </c>
      <c r="C45">
        <v>400</v>
      </c>
      <c r="D45">
        <v>170</v>
      </c>
      <c r="E45">
        <v>4746</v>
      </c>
      <c r="F45">
        <v>12</v>
      </c>
      <c r="G45">
        <v>71</v>
      </c>
      <c r="H45" t="s">
        <v>9</v>
      </c>
      <c r="I45" t="s">
        <v>49</v>
      </c>
    </row>
    <row r="46" spans="1:9" x14ac:dyDescent="0.45">
      <c r="A46">
        <v>13</v>
      </c>
      <c r="B46">
        <v>8</v>
      </c>
      <c r="C46">
        <v>400</v>
      </c>
      <c r="D46">
        <v>175</v>
      </c>
      <c r="E46">
        <v>5140</v>
      </c>
      <c r="F46">
        <v>12</v>
      </c>
      <c r="G46">
        <v>71</v>
      </c>
      <c r="H46" t="s">
        <v>9</v>
      </c>
      <c r="I46" t="s">
        <v>50</v>
      </c>
    </row>
    <row r="47" spans="1:9" x14ac:dyDescent="0.45">
      <c r="A47">
        <v>18</v>
      </c>
      <c r="B47">
        <v>6</v>
      </c>
      <c r="C47">
        <v>258</v>
      </c>
      <c r="D47">
        <v>110</v>
      </c>
      <c r="E47">
        <v>2962</v>
      </c>
      <c r="F47">
        <v>13.5</v>
      </c>
      <c r="G47">
        <v>71</v>
      </c>
      <c r="H47" t="s">
        <v>9</v>
      </c>
      <c r="I47" t="s">
        <v>51</v>
      </c>
    </row>
    <row r="48" spans="1:9" x14ac:dyDescent="0.45">
      <c r="A48">
        <v>22</v>
      </c>
      <c r="B48">
        <v>4</v>
      </c>
      <c r="C48">
        <v>140</v>
      </c>
      <c r="D48">
        <v>72</v>
      </c>
      <c r="E48">
        <v>2408</v>
      </c>
      <c r="F48">
        <v>19</v>
      </c>
      <c r="G48">
        <v>71</v>
      </c>
      <c r="H48" t="s">
        <v>9</v>
      </c>
      <c r="I48" t="s">
        <v>52</v>
      </c>
    </row>
    <row r="49" spans="1:9" x14ac:dyDescent="0.45">
      <c r="A49">
        <v>19</v>
      </c>
      <c r="B49">
        <v>6</v>
      </c>
      <c r="C49">
        <v>250</v>
      </c>
      <c r="D49">
        <v>100</v>
      </c>
      <c r="E49">
        <v>3282</v>
      </c>
      <c r="F49">
        <v>15</v>
      </c>
      <c r="G49">
        <v>71</v>
      </c>
      <c r="H49" t="s">
        <v>9</v>
      </c>
      <c r="I49" t="s">
        <v>53</v>
      </c>
    </row>
    <row r="50" spans="1:9" x14ac:dyDescent="0.45">
      <c r="A50">
        <v>18</v>
      </c>
      <c r="B50">
        <v>6</v>
      </c>
      <c r="C50">
        <v>250</v>
      </c>
      <c r="D50">
        <v>88</v>
      </c>
      <c r="E50">
        <v>3139</v>
      </c>
      <c r="F50">
        <v>14.5</v>
      </c>
      <c r="G50">
        <v>71</v>
      </c>
      <c r="H50" t="s">
        <v>9</v>
      </c>
      <c r="I50" t="s">
        <v>54</v>
      </c>
    </row>
    <row r="51" spans="1:9" x14ac:dyDescent="0.45">
      <c r="A51">
        <v>23</v>
      </c>
      <c r="B51">
        <v>4</v>
      </c>
      <c r="C51">
        <v>122</v>
      </c>
      <c r="D51">
        <v>86</v>
      </c>
      <c r="E51">
        <v>2220</v>
      </c>
      <c r="F51">
        <v>14</v>
      </c>
      <c r="G51">
        <v>71</v>
      </c>
      <c r="H51" t="s">
        <v>9</v>
      </c>
      <c r="I51" t="s">
        <v>55</v>
      </c>
    </row>
    <row r="52" spans="1:9" x14ac:dyDescent="0.45">
      <c r="A52">
        <v>28</v>
      </c>
      <c r="B52">
        <v>4</v>
      </c>
      <c r="C52">
        <v>116</v>
      </c>
      <c r="D52">
        <v>90</v>
      </c>
      <c r="E52">
        <v>2123</v>
      </c>
      <c r="F52">
        <v>14</v>
      </c>
      <c r="G52">
        <v>71</v>
      </c>
      <c r="H52" t="s">
        <v>30</v>
      </c>
      <c r="I52" t="s">
        <v>56</v>
      </c>
    </row>
    <row r="53" spans="1:9" x14ac:dyDescent="0.45">
      <c r="A53">
        <v>30</v>
      </c>
      <c r="B53">
        <v>4</v>
      </c>
      <c r="C53">
        <v>79</v>
      </c>
      <c r="D53">
        <v>70</v>
      </c>
      <c r="E53">
        <v>2074</v>
      </c>
      <c r="F53">
        <v>19.5</v>
      </c>
      <c r="G53">
        <v>71</v>
      </c>
      <c r="H53" t="s">
        <v>30</v>
      </c>
      <c r="I53" t="s">
        <v>57</v>
      </c>
    </row>
    <row r="54" spans="1:9" x14ac:dyDescent="0.45">
      <c r="A54">
        <v>30</v>
      </c>
      <c r="B54">
        <v>4</v>
      </c>
      <c r="C54">
        <v>88</v>
      </c>
      <c r="D54">
        <v>76</v>
      </c>
      <c r="E54">
        <v>2065</v>
      </c>
      <c r="F54">
        <v>14.5</v>
      </c>
      <c r="G54">
        <v>71</v>
      </c>
      <c r="H54" t="s">
        <v>30</v>
      </c>
      <c r="I54" t="s">
        <v>58</v>
      </c>
    </row>
    <row r="55" spans="1:9" x14ac:dyDescent="0.45">
      <c r="A55">
        <v>31</v>
      </c>
      <c r="B55">
        <v>4</v>
      </c>
      <c r="C55">
        <v>71</v>
      </c>
      <c r="D55">
        <v>65</v>
      </c>
      <c r="E55">
        <v>1773</v>
      </c>
      <c r="F55">
        <v>19</v>
      </c>
      <c r="G55">
        <v>71</v>
      </c>
      <c r="H55" t="s">
        <v>24</v>
      </c>
      <c r="I55" t="s">
        <v>59</v>
      </c>
    </row>
    <row r="56" spans="1:9" x14ac:dyDescent="0.45">
      <c r="A56">
        <v>35</v>
      </c>
      <c r="B56">
        <v>4</v>
      </c>
      <c r="C56">
        <v>72</v>
      </c>
      <c r="D56">
        <v>69</v>
      </c>
      <c r="E56">
        <v>1613</v>
      </c>
      <c r="F56">
        <v>18</v>
      </c>
      <c r="G56">
        <v>71</v>
      </c>
      <c r="H56" t="s">
        <v>24</v>
      </c>
      <c r="I56" t="s">
        <v>60</v>
      </c>
    </row>
    <row r="57" spans="1:9" x14ac:dyDescent="0.45">
      <c r="A57">
        <v>27</v>
      </c>
      <c r="B57">
        <v>4</v>
      </c>
      <c r="C57">
        <v>97</v>
      </c>
      <c r="D57">
        <v>60</v>
      </c>
      <c r="E57">
        <v>1834</v>
      </c>
      <c r="F57">
        <v>19</v>
      </c>
      <c r="G57">
        <v>71</v>
      </c>
      <c r="H57" t="s">
        <v>30</v>
      </c>
      <c r="I57" t="s">
        <v>61</v>
      </c>
    </row>
    <row r="58" spans="1:9" x14ac:dyDescent="0.45">
      <c r="A58">
        <v>26</v>
      </c>
      <c r="B58">
        <v>4</v>
      </c>
      <c r="C58">
        <v>91</v>
      </c>
      <c r="D58">
        <v>70</v>
      </c>
      <c r="E58">
        <v>1955</v>
      </c>
      <c r="F58">
        <v>20.5</v>
      </c>
      <c r="G58">
        <v>71</v>
      </c>
      <c r="H58" t="s">
        <v>9</v>
      </c>
      <c r="I58" t="s">
        <v>62</v>
      </c>
    </row>
    <row r="59" spans="1:9" x14ac:dyDescent="0.45">
      <c r="A59">
        <v>24</v>
      </c>
      <c r="B59">
        <v>4</v>
      </c>
      <c r="C59">
        <v>113</v>
      </c>
      <c r="D59">
        <v>95</v>
      </c>
      <c r="E59">
        <v>2278</v>
      </c>
      <c r="F59">
        <v>15.5</v>
      </c>
      <c r="G59">
        <v>72</v>
      </c>
      <c r="H59" t="s">
        <v>24</v>
      </c>
      <c r="I59" t="s">
        <v>63</v>
      </c>
    </row>
    <row r="60" spans="1:9" x14ac:dyDescent="0.45">
      <c r="A60">
        <v>25</v>
      </c>
      <c r="B60">
        <v>4</v>
      </c>
      <c r="C60">
        <v>97.5</v>
      </c>
      <c r="D60">
        <v>80</v>
      </c>
      <c r="E60">
        <v>2126</v>
      </c>
      <c r="F60">
        <v>17</v>
      </c>
      <c r="G60">
        <v>72</v>
      </c>
      <c r="H60" t="s">
        <v>9</v>
      </c>
      <c r="I60" t="s">
        <v>64</v>
      </c>
    </row>
    <row r="61" spans="1:9" x14ac:dyDescent="0.45">
      <c r="A61">
        <v>23</v>
      </c>
      <c r="B61">
        <v>4</v>
      </c>
      <c r="C61">
        <v>97</v>
      </c>
      <c r="D61">
        <v>54</v>
      </c>
      <c r="E61">
        <v>2254</v>
      </c>
      <c r="F61">
        <v>23.5</v>
      </c>
      <c r="G61">
        <v>72</v>
      </c>
      <c r="H61" t="s">
        <v>30</v>
      </c>
      <c r="I61" t="s">
        <v>65</v>
      </c>
    </row>
    <row r="62" spans="1:9" x14ac:dyDescent="0.45">
      <c r="A62">
        <v>20</v>
      </c>
      <c r="B62">
        <v>4</v>
      </c>
      <c r="C62">
        <v>140</v>
      </c>
      <c r="D62">
        <v>90</v>
      </c>
      <c r="E62">
        <v>2408</v>
      </c>
      <c r="F62">
        <v>19.5</v>
      </c>
      <c r="G62">
        <v>72</v>
      </c>
      <c r="H62" t="s">
        <v>9</v>
      </c>
      <c r="I62" t="s">
        <v>66</v>
      </c>
    </row>
    <row r="63" spans="1:9" x14ac:dyDescent="0.45">
      <c r="A63">
        <v>21</v>
      </c>
      <c r="B63">
        <v>4</v>
      </c>
      <c r="C63">
        <v>122</v>
      </c>
      <c r="D63">
        <v>86</v>
      </c>
      <c r="E63">
        <v>2226</v>
      </c>
      <c r="F63">
        <v>16.5</v>
      </c>
      <c r="G63">
        <v>72</v>
      </c>
      <c r="H63" t="s">
        <v>9</v>
      </c>
      <c r="I63" t="s">
        <v>67</v>
      </c>
    </row>
    <row r="64" spans="1:9" x14ac:dyDescent="0.45">
      <c r="A64">
        <v>13</v>
      </c>
      <c r="B64">
        <v>8</v>
      </c>
      <c r="C64">
        <v>350</v>
      </c>
      <c r="D64">
        <v>165</v>
      </c>
      <c r="E64">
        <v>4274</v>
      </c>
      <c r="F64">
        <v>12</v>
      </c>
      <c r="G64">
        <v>72</v>
      </c>
      <c r="H64" t="s">
        <v>9</v>
      </c>
      <c r="I64" t="s">
        <v>16</v>
      </c>
    </row>
    <row r="65" spans="1:9" x14ac:dyDescent="0.45">
      <c r="A65">
        <v>14</v>
      </c>
      <c r="B65">
        <v>8</v>
      </c>
      <c r="C65">
        <v>400</v>
      </c>
      <c r="D65">
        <v>175</v>
      </c>
      <c r="E65">
        <v>4385</v>
      </c>
      <c r="F65">
        <v>12</v>
      </c>
      <c r="G65">
        <v>72</v>
      </c>
      <c r="H65" t="s">
        <v>9</v>
      </c>
      <c r="I65" t="s">
        <v>18</v>
      </c>
    </row>
    <row r="66" spans="1:9" x14ac:dyDescent="0.45">
      <c r="A66">
        <v>15</v>
      </c>
      <c r="B66">
        <v>8</v>
      </c>
      <c r="C66">
        <v>318</v>
      </c>
      <c r="D66">
        <v>150</v>
      </c>
      <c r="E66">
        <v>4135</v>
      </c>
      <c r="F66">
        <v>13.5</v>
      </c>
      <c r="G66">
        <v>72</v>
      </c>
      <c r="H66" t="s">
        <v>9</v>
      </c>
      <c r="I66" t="s">
        <v>17</v>
      </c>
    </row>
    <row r="67" spans="1:9" x14ac:dyDescent="0.45">
      <c r="A67">
        <v>14</v>
      </c>
      <c r="B67">
        <v>8</v>
      </c>
      <c r="C67">
        <v>351</v>
      </c>
      <c r="D67">
        <v>153</v>
      </c>
      <c r="E67">
        <v>4129</v>
      </c>
      <c r="F67">
        <v>13</v>
      </c>
      <c r="G67">
        <v>72</v>
      </c>
      <c r="H67" t="s">
        <v>9</v>
      </c>
      <c r="I67" t="s">
        <v>15</v>
      </c>
    </row>
    <row r="68" spans="1:9" x14ac:dyDescent="0.45">
      <c r="A68">
        <v>17</v>
      </c>
      <c r="B68">
        <v>8</v>
      </c>
      <c r="C68">
        <v>304</v>
      </c>
      <c r="D68">
        <v>150</v>
      </c>
      <c r="E68">
        <v>3672</v>
      </c>
      <c r="F68">
        <v>11.5</v>
      </c>
      <c r="G68">
        <v>72</v>
      </c>
      <c r="H68" t="s">
        <v>9</v>
      </c>
      <c r="I68" t="s">
        <v>68</v>
      </c>
    </row>
    <row r="69" spans="1:9" x14ac:dyDescent="0.45">
      <c r="A69">
        <v>11</v>
      </c>
      <c r="B69">
        <v>8</v>
      </c>
      <c r="C69">
        <v>429</v>
      </c>
      <c r="D69">
        <v>208</v>
      </c>
      <c r="E69">
        <v>4633</v>
      </c>
      <c r="F69">
        <v>11</v>
      </c>
      <c r="G69">
        <v>72</v>
      </c>
      <c r="H69" t="s">
        <v>9</v>
      </c>
      <c r="I69" t="s">
        <v>69</v>
      </c>
    </row>
    <row r="70" spans="1:9" x14ac:dyDescent="0.45">
      <c r="A70">
        <v>13</v>
      </c>
      <c r="B70">
        <v>8</v>
      </c>
      <c r="C70">
        <v>350</v>
      </c>
      <c r="D70">
        <v>155</v>
      </c>
      <c r="E70">
        <v>4502</v>
      </c>
      <c r="F70">
        <v>13.5</v>
      </c>
      <c r="G70">
        <v>72</v>
      </c>
      <c r="H70" t="s">
        <v>9</v>
      </c>
      <c r="I70" t="s">
        <v>70</v>
      </c>
    </row>
    <row r="71" spans="1:9" x14ac:dyDescent="0.45">
      <c r="A71">
        <v>12</v>
      </c>
      <c r="B71">
        <v>8</v>
      </c>
      <c r="C71">
        <v>350</v>
      </c>
      <c r="D71">
        <v>160</v>
      </c>
      <c r="E71">
        <v>4456</v>
      </c>
      <c r="F71">
        <v>13.5</v>
      </c>
      <c r="G71">
        <v>72</v>
      </c>
      <c r="H71" t="s">
        <v>9</v>
      </c>
      <c r="I71" t="s">
        <v>71</v>
      </c>
    </row>
    <row r="72" spans="1:9" x14ac:dyDescent="0.45">
      <c r="A72">
        <v>13</v>
      </c>
      <c r="B72">
        <v>8</v>
      </c>
      <c r="C72">
        <v>400</v>
      </c>
      <c r="D72">
        <v>190</v>
      </c>
      <c r="E72">
        <v>4422</v>
      </c>
      <c r="F72">
        <v>12.5</v>
      </c>
      <c r="G72">
        <v>72</v>
      </c>
      <c r="H72" t="s">
        <v>9</v>
      </c>
      <c r="I72" t="s">
        <v>72</v>
      </c>
    </row>
    <row r="73" spans="1:9" x14ac:dyDescent="0.45">
      <c r="A73">
        <v>19</v>
      </c>
      <c r="B73">
        <v>3</v>
      </c>
      <c r="C73">
        <v>70</v>
      </c>
      <c r="D73">
        <v>97</v>
      </c>
      <c r="E73">
        <v>2330</v>
      </c>
      <c r="F73">
        <v>13.5</v>
      </c>
      <c r="G73">
        <v>72</v>
      </c>
      <c r="H73" t="s">
        <v>24</v>
      </c>
      <c r="I73" t="s">
        <v>73</v>
      </c>
    </row>
    <row r="74" spans="1:9" x14ac:dyDescent="0.45">
      <c r="A74">
        <v>15</v>
      </c>
      <c r="B74">
        <v>8</v>
      </c>
      <c r="C74">
        <v>304</v>
      </c>
      <c r="D74">
        <v>150</v>
      </c>
      <c r="E74">
        <v>3892</v>
      </c>
      <c r="F74">
        <v>12.5</v>
      </c>
      <c r="G74">
        <v>72</v>
      </c>
      <c r="H74" t="s">
        <v>9</v>
      </c>
      <c r="I74" t="s">
        <v>74</v>
      </c>
    </row>
    <row r="75" spans="1:9" x14ac:dyDescent="0.45">
      <c r="A75">
        <v>13</v>
      </c>
      <c r="B75">
        <v>8</v>
      </c>
      <c r="C75">
        <v>307</v>
      </c>
      <c r="D75">
        <v>130</v>
      </c>
      <c r="E75">
        <v>4098</v>
      </c>
      <c r="F75">
        <v>14</v>
      </c>
      <c r="G75">
        <v>72</v>
      </c>
      <c r="H75" t="s">
        <v>9</v>
      </c>
      <c r="I75" t="s">
        <v>75</v>
      </c>
    </row>
    <row r="76" spans="1:9" x14ac:dyDescent="0.45">
      <c r="A76">
        <v>13</v>
      </c>
      <c r="B76">
        <v>8</v>
      </c>
      <c r="C76">
        <v>302</v>
      </c>
      <c r="D76">
        <v>140</v>
      </c>
      <c r="E76">
        <v>4294</v>
      </c>
      <c r="F76">
        <v>16</v>
      </c>
      <c r="G76">
        <v>72</v>
      </c>
      <c r="H76" t="s">
        <v>9</v>
      </c>
      <c r="I76" t="s">
        <v>76</v>
      </c>
    </row>
    <row r="77" spans="1:9" x14ac:dyDescent="0.45">
      <c r="A77">
        <v>14</v>
      </c>
      <c r="B77">
        <v>8</v>
      </c>
      <c r="C77">
        <v>318</v>
      </c>
      <c r="D77">
        <v>150</v>
      </c>
      <c r="E77">
        <v>4077</v>
      </c>
      <c r="F77">
        <v>14</v>
      </c>
      <c r="G77">
        <v>72</v>
      </c>
      <c r="H77" t="s">
        <v>9</v>
      </c>
      <c r="I77" t="s">
        <v>77</v>
      </c>
    </row>
    <row r="78" spans="1:9" x14ac:dyDescent="0.45">
      <c r="A78">
        <v>18</v>
      </c>
      <c r="B78">
        <v>4</v>
      </c>
      <c r="C78">
        <v>121</v>
      </c>
      <c r="D78">
        <v>112</v>
      </c>
      <c r="E78">
        <v>2933</v>
      </c>
      <c r="F78">
        <v>14.5</v>
      </c>
      <c r="G78">
        <v>72</v>
      </c>
      <c r="H78" t="s">
        <v>30</v>
      </c>
      <c r="I78" t="s">
        <v>78</v>
      </c>
    </row>
    <row r="79" spans="1:9" x14ac:dyDescent="0.45">
      <c r="A79">
        <v>22</v>
      </c>
      <c r="B79">
        <v>4</v>
      </c>
      <c r="C79">
        <v>121</v>
      </c>
      <c r="D79">
        <v>76</v>
      </c>
      <c r="E79">
        <v>2511</v>
      </c>
      <c r="F79">
        <v>18</v>
      </c>
      <c r="G79">
        <v>72</v>
      </c>
      <c r="H79" t="s">
        <v>30</v>
      </c>
      <c r="I79" t="s">
        <v>79</v>
      </c>
    </row>
    <row r="80" spans="1:9" x14ac:dyDescent="0.45">
      <c r="A80">
        <v>21</v>
      </c>
      <c r="B80">
        <v>4</v>
      </c>
      <c r="C80">
        <v>120</v>
      </c>
      <c r="D80">
        <v>87</v>
      </c>
      <c r="E80">
        <v>2979</v>
      </c>
      <c r="F80">
        <v>19.5</v>
      </c>
      <c r="G80">
        <v>72</v>
      </c>
      <c r="H80" t="s">
        <v>30</v>
      </c>
      <c r="I80" t="s">
        <v>80</v>
      </c>
    </row>
    <row r="81" spans="1:9" x14ac:dyDescent="0.45">
      <c r="A81">
        <v>26</v>
      </c>
      <c r="B81">
        <v>4</v>
      </c>
      <c r="C81">
        <v>96</v>
      </c>
      <c r="D81">
        <v>69</v>
      </c>
      <c r="E81">
        <v>2189</v>
      </c>
      <c r="F81">
        <v>18</v>
      </c>
      <c r="G81">
        <v>72</v>
      </c>
      <c r="H81" t="s">
        <v>30</v>
      </c>
      <c r="I81" t="s">
        <v>81</v>
      </c>
    </row>
    <row r="82" spans="1:9" x14ac:dyDescent="0.45">
      <c r="A82">
        <v>22</v>
      </c>
      <c r="B82">
        <v>4</v>
      </c>
      <c r="C82">
        <v>122</v>
      </c>
      <c r="D82">
        <v>86</v>
      </c>
      <c r="E82">
        <v>2395</v>
      </c>
      <c r="F82">
        <v>16</v>
      </c>
      <c r="G82">
        <v>72</v>
      </c>
      <c r="H82" t="s">
        <v>9</v>
      </c>
      <c r="I82" t="s">
        <v>82</v>
      </c>
    </row>
    <row r="83" spans="1:9" x14ac:dyDescent="0.45">
      <c r="A83">
        <v>28</v>
      </c>
      <c r="B83">
        <v>4</v>
      </c>
      <c r="C83">
        <v>97</v>
      </c>
      <c r="D83">
        <v>92</v>
      </c>
      <c r="E83">
        <v>2288</v>
      </c>
      <c r="F83">
        <v>17</v>
      </c>
      <c r="G83">
        <v>72</v>
      </c>
      <c r="H83" t="s">
        <v>24</v>
      </c>
      <c r="I83" t="s">
        <v>83</v>
      </c>
    </row>
    <row r="84" spans="1:9" x14ac:dyDescent="0.45">
      <c r="A84">
        <v>23</v>
      </c>
      <c r="B84">
        <v>4</v>
      </c>
      <c r="C84">
        <v>120</v>
      </c>
      <c r="D84">
        <v>97</v>
      </c>
      <c r="E84">
        <v>2506</v>
      </c>
      <c r="F84">
        <v>14.5</v>
      </c>
      <c r="G84">
        <v>72</v>
      </c>
      <c r="H84" t="s">
        <v>24</v>
      </c>
      <c r="I84" t="s">
        <v>84</v>
      </c>
    </row>
    <row r="85" spans="1:9" x14ac:dyDescent="0.45">
      <c r="A85">
        <v>28</v>
      </c>
      <c r="B85">
        <v>4</v>
      </c>
      <c r="C85">
        <v>98</v>
      </c>
      <c r="D85">
        <v>80</v>
      </c>
      <c r="E85">
        <v>2164</v>
      </c>
      <c r="F85">
        <v>15</v>
      </c>
      <c r="G85">
        <v>72</v>
      </c>
      <c r="H85" t="s">
        <v>9</v>
      </c>
      <c r="I85" t="s">
        <v>85</v>
      </c>
    </row>
    <row r="86" spans="1:9" x14ac:dyDescent="0.45">
      <c r="A86">
        <v>27</v>
      </c>
      <c r="B86">
        <v>4</v>
      </c>
      <c r="C86">
        <v>97</v>
      </c>
      <c r="D86">
        <v>88</v>
      </c>
      <c r="E86">
        <v>2100</v>
      </c>
      <c r="F86">
        <v>16.5</v>
      </c>
      <c r="G86">
        <v>72</v>
      </c>
      <c r="H86" t="s">
        <v>24</v>
      </c>
      <c r="I86" t="s">
        <v>86</v>
      </c>
    </row>
    <row r="87" spans="1:9" x14ac:dyDescent="0.45">
      <c r="A87">
        <v>13</v>
      </c>
      <c r="B87">
        <v>8</v>
      </c>
      <c r="C87">
        <v>350</v>
      </c>
      <c r="D87">
        <v>175</v>
      </c>
      <c r="E87">
        <v>4100</v>
      </c>
      <c r="F87">
        <v>13</v>
      </c>
      <c r="G87">
        <v>73</v>
      </c>
      <c r="H87" t="s">
        <v>9</v>
      </c>
      <c r="I87" t="s">
        <v>87</v>
      </c>
    </row>
    <row r="88" spans="1:9" x14ac:dyDescent="0.45">
      <c r="A88">
        <v>14</v>
      </c>
      <c r="B88">
        <v>8</v>
      </c>
      <c r="C88">
        <v>304</v>
      </c>
      <c r="D88">
        <v>150</v>
      </c>
      <c r="E88">
        <v>3672</v>
      </c>
      <c r="F88">
        <v>11.5</v>
      </c>
      <c r="G88">
        <v>73</v>
      </c>
      <c r="H88" t="s">
        <v>9</v>
      </c>
      <c r="I88" t="s">
        <v>46</v>
      </c>
    </row>
    <row r="89" spans="1:9" x14ac:dyDescent="0.45">
      <c r="A89">
        <v>13</v>
      </c>
      <c r="B89">
        <v>8</v>
      </c>
      <c r="C89">
        <v>350</v>
      </c>
      <c r="D89">
        <v>145</v>
      </c>
      <c r="E89">
        <v>3988</v>
      </c>
      <c r="F89">
        <v>13</v>
      </c>
      <c r="G89">
        <v>73</v>
      </c>
      <c r="H89" t="s">
        <v>9</v>
      </c>
      <c r="I89" t="s">
        <v>88</v>
      </c>
    </row>
    <row r="90" spans="1:9" x14ac:dyDescent="0.45">
      <c r="A90">
        <v>14</v>
      </c>
      <c r="B90">
        <v>8</v>
      </c>
      <c r="C90">
        <v>302</v>
      </c>
      <c r="D90">
        <v>137</v>
      </c>
      <c r="E90">
        <v>4042</v>
      </c>
      <c r="F90">
        <v>14.5</v>
      </c>
      <c r="G90">
        <v>73</v>
      </c>
      <c r="H90" t="s">
        <v>9</v>
      </c>
      <c r="I90" t="s">
        <v>89</v>
      </c>
    </row>
    <row r="91" spans="1:9" x14ac:dyDescent="0.45">
      <c r="A91">
        <v>15</v>
      </c>
      <c r="B91">
        <v>8</v>
      </c>
      <c r="C91">
        <v>318</v>
      </c>
      <c r="D91">
        <v>150</v>
      </c>
      <c r="E91">
        <v>3777</v>
      </c>
      <c r="F91">
        <v>12.5</v>
      </c>
      <c r="G91">
        <v>73</v>
      </c>
      <c r="H91" t="s">
        <v>9</v>
      </c>
      <c r="I91" t="s">
        <v>90</v>
      </c>
    </row>
    <row r="92" spans="1:9" x14ac:dyDescent="0.45">
      <c r="A92">
        <v>12</v>
      </c>
      <c r="B92">
        <v>8</v>
      </c>
      <c r="C92">
        <v>429</v>
      </c>
      <c r="D92">
        <v>198</v>
      </c>
      <c r="E92">
        <v>4952</v>
      </c>
      <c r="F92">
        <v>11.5</v>
      </c>
      <c r="G92">
        <v>73</v>
      </c>
      <c r="H92" t="s">
        <v>9</v>
      </c>
      <c r="I92" t="s">
        <v>91</v>
      </c>
    </row>
    <row r="93" spans="1:9" x14ac:dyDescent="0.45">
      <c r="A93">
        <v>13</v>
      </c>
      <c r="B93">
        <v>8</v>
      </c>
      <c r="C93">
        <v>400</v>
      </c>
      <c r="D93">
        <v>150</v>
      </c>
      <c r="E93">
        <v>4464</v>
      </c>
      <c r="F93">
        <v>12</v>
      </c>
      <c r="G93">
        <v>73</v>
      </c>
      <c r="H93" t="s">
        <v>9</v>
      </c>
      <c r="I93" t="s">
        <v>92</v>
      </c>
    </row>
    <row r="94" spans="1:9" x14ac:dyDescent="0.45">
      <c r="A94">
        <v>13</v>
      </c>
      <c r="B94">
        <v>8</v>
      </c>
      <c r="C94">
        <v>351</v>
      </c>
      <c r="D94">
        <v>158</v>
      </c>
      <c r="E94">
        <v>4363</v>
      </c>
      <c r="F94">
        <v>13</v>
      </c>
      <c r="G94">
        <v>73</v>
      </c>
      <c r="H94" t="s">
        <v>9</v>
      </c>
      <c r="I94" t="s">
        <v>93</v>
      </c>
    </row>
    <row r="95" spans="1:9" x14ac:dyDescent="0.45">
      <c r="A95">
        <v>14</v>
      </c>
      <c r="B95">
        <v>8</v>
      </c>
      <c r="C95">
        <v>318</v>
      </c>
      <c r="D95">
        <v>150</v>
      </c>
      <c r="E95">
        <v>4237</v>
      </c>
      <c r="F95">
        <v>14.5</v>
      </c>
      <c r="G95">
        <v>73</v>
      </c>
      <c r="H95" t="s">
        <v>9</v>
      </c>
      <c r="I95" t="s">
        <v>94</v>
      </c>
    </row>
    <row r="96" spans="1:9" x14ac:dyDescent="0.45">
      <c r="A96">
        <v>13</v>
      </c>
      <c r="B96">
        <v>8</v>
      </c>
      <c r="C96">
        <v>440</v>
      </c>
      <c r="D96">
        <v>215</v>
      </c>
      <c r="E96">
        <v>4735</v>
      </c>
      <c r="F96">
        <v>11</v>
      </c>
      <c r="G96">
        <v>73</v>
      </c>
      <c r="H96" t="s">
        <v>9</v>
      </c>
      <c r="I96" t="s">
        <v>95</v>
      </c>
    </row>
    <row r="97" spans="1:9" x14ac:dyDescent="0.45">
      <c r="A97">
        <v>12</v>
      </c>
      <c r="B97">
        <v>8</v>
      </c>
      <c r="C97">
        <v>455</v>
      </c>
      <c r="D97">
        <v>225</v>
      </c>
      <c r="E97">
        <v>4951</v>
      </c>
      <c r="F97">
        <v>11</v>
      </c>
      <c r="G97">
        <v>73</v>
      </c>
      <c r="H97" t="s">
        <v>9</v>
      </c>
      <c r="I97" t="s">
        <v>96</v>
      </c>
    </row>
    <row r="98" spans="1:9" x14ac:dyDescent="0.45">
      <c r="A98">
        <v>13</v>
      </c>
      <c r="B98">
        <v>8</v>
      </c>
      <c r="C98">
        <v>360</v>
      </c>
      <c r="D98">
        <v>175</v>
      </c>
      <c r="E98">
        <v>3821</v>
      </c>
      <c r="F98">
        <v>11</v>
      </c>
      <c r="G98">
        <v>73</v>
      </c>
      <c r="H98" t="s">
        <v>9</v>
      </c>
      <c r="I98" t="s">
        <v>97</v>
      </c>
    </row>
    <row r="99" spans="1:9" x14ac:dyDescent="0.45">
      <c r="A99">
        <v>18</v>
      </c>
      <c r="B99">
        <v>6</v>
      </c>
      <c r="C99">
        <v>225</v>
      </c>
      <c r="D99">
        <v>105</v>
      </c>
      <c r="E99">
        <v>3121</v>
      </c>
      <c r="F99">
        <v>16.5</v>
      </c>
      <c r="G99">
        <v>73</v>
      </c>
      <c r="H99" t="s">
        <v>9</v>
      </c>
      <c r="I99" t="s">
        <v>98</v>
      </c>
    </row>
    <row r="100" spans="1:9" x14ac:dyDescent="0.45">
      <c r="A100">
        <v>16</v>
      </c>
      <c r="B100">
        <v>6</v>
      </c>
      <c r="C100">
        <v>250</v>
      </c>
      <c r="D100">
        <v>100</v>
      </c>
      <c r="E100">
        <v>3278</v>
      </c>
      <c r="F100">
        <v>18</v>
      </c>
      <c r="G100">
        <v>73</v>
      </c>
      <c r="H100" t="s">
        <v>9</v>
      </c>
      <c r="I100" t="s">
        <v>99</v>
      </c>
    </row>
    <row r="101" spans="1:9" x14ac:dyDescent="0.45">
      <c r="A101">
        <v>18</v>
      </c>
      <c r="B101">
        <v>6</v>
      </c>
      <c r="C101">
        <v>232</v>
      </c>
      <c r="D101">
        <v>100</v>
      </c>
      <c r="E101">
        <v>2945</v>
      </c>
      <c r="F101">
        <v>16</v>
      </c>
      <c r="G101">
        <v>73</v>
      </c>
      <c r="H101" t="s">
        <v>9</v>
      </c>
      <c r="I101" t="s">
        <v>27</v>
      </c>
    </row>
    <row r="102" spans="1:9" x14ac:dyDescent="0.45">
      <c r="A102">
        <v>18</v>
      </c>
      <c r="B102">
        <v>6</v>
      </c>
      <c r="C102">
        <v>250</v>
      </c>
      <c r="D102">
        <v>88</v>
      </c>
      <c r="E102">
        <v>3021</v>
      </c>
      <c r="F102">
        <v>16.5</v>
      </c>
      <c r="G102">
        <v>73</v>
      </c>
      <c r="H102" t="s">
        <v>9</v>
      </c>
      <c r="I102" t="s">
        <v>28</v>
      </c>
    </row>
    <row r="103" spans="1:9" x14ac:dyDescent="0.45">
      <c r="A103">
        <v>23</v>
      </c>
      <c r="B103">
        <v>6</v>
      </c>
      <c r="C103">
        <v>198</v>
      </c>
      <c r="D103">
        <v>95</v>
      </c>
      <c r="E103">
        <v>2904</v>
      </c>
      <c r="F103">
        <v>16</v>
      </c>
      <c r="G103">
        <v>73</v>
      </c>
      <c r="H103" t="s">
        <v>9</v>
      </c>
      <c r="I103" t="s">
        <v>26</v>
      </c>
    </row>
    <row r="104" spans="1:9" x14ac:dyDescent="0.45">
      <c r="A104">
        <v>26</v>
      </c>
      <c r="B104">
        <v>4</v>
      </c>
      <c r="C104">
        <v>97</v>
      </c>
      <c r="D104">
        <v>46</v>
      </c>
      <c r="E104">
        <v>1950</v>
      </c>
      <c r="F104">
        <v>21</v>
      </c>
      <c r="G104">
        <v>73</v>
      </c>
      <c r="H104" t="s">
        <v>30</v>
      </c>
      <c r="I104" t="s">
        <v>100</v>
      </c>
    </row>
    <row r="105" spans="1:9" x14ac:dyDescent="0.45">
      <c r="A105">
        <v>11</v>
      </c>
      <c r="B105">
        <v>8</v>
      </c>
      <c r="C105">
        <v>400</v>
      </c>
      <c r="D105">
        <v>150</v>
      </c>
      <c r="E105">
        <v>4997</v>
      </c>
      <c r="F105">
        <v>14</v>
      </c>
      <c r="G105">
        <v>73</v>
      </c>
      <c r="H105" t="s">
        <v>9</v>
      </c>
      <c r="I105" t="s">
        <v>16</v>
      </c>
    </row>
    <row r="106" spans="1:9" x14ac:dyDescent="0.45">
      <c r="A106">
        <v>12</v>
      </c>
      <c r="B106">
        <v>8</v>
      </c>
      <c r="C106">
        <v>400</v>
      </c>
      <c r="D106">
        <v>167</v>
      </c>
      <c r="E106">
        <v>4906</v>
      </c>
      <c r="F106">
        <v>12.5</v>
      </c>
      <c r="G106">
        <v>73</v>
      </c>
      <c r="H106" t="s">
        <v>9</v>
      </c>
      <c r="I106" t="s">
        <v>101</v>
      </c>
    </row>
    <row r="107" spans="1:9" x14ac:dyDescent="0.45">
      <c r="A107">
        <v>13</v>
      </c>
      <c r="B107">
        <v>8</v>
      </c>
      <c r="C107">
        <v>360</v>
      </c>
      <c r="D107">
        <v>170</v>
      </c>
      <c r="E107">
        <v>4654</v>
      </c>
      <c r="F107">
        <v>13</v>
      </c>
      <c r="G107">
        <v>73</v>
      </c>
      <c r="H107" t="s">
        <v>9</v>
      </c>
      <c r="I107" t="s">
        <v>102</v>
      </c>
    </row>
    <row r="108" spans="1:9" x14ac:dyDescent="0.45">
      <c r="A108">
        <v>12</v>
      </c>
      <c r="B108">
        <v>8</v>
      </c>
      <c r="C108">
        <v>350</v>
      </c>
      <c r="D108">
        <v>180</v>
      </c>
      <c r="E108">
        <v>4499</v>
      </c>
      <c r="F108">
        <v>12.5</v>
      </c>
      <c r="G108">
        <v>73</v>
      </c>
      <c r="H108" t="s">
        <v>9</v>
      </c>
      <c r="I108" t="s">
        <v>103</v>
      </c>
    </row>
    <row r="109" spans="1:9" x14ac:dyDescent="0.45">
      <c r="A109">
        <v>18</v>
      </c>
      <c r="B109">
        <v>6</v>
      </c>
      <c r="C109">
        <v>232</v>
      </c>
      <c r="D109">
        <v>100</v>
      </c>
      <c r="E109">
        <v>2789</v>
      </c>
      <c r="F109">
        <v>15</v>
      </c>
      <c r="G109">
        <v>73</v>
      </c>
      <c r="H109" t="s">
        <v>9</v>
      </c>
      <c r="I109" t="s">
        <v>36</v>
      </c>
    </row>
    <row r="110" spans="1:9" x14ac:dyDescent="0.45">
      <c r="A110">
        <v>20</v>
      </c>
      <c r="B110">
        <v>4</v>
      </c>
      <c r="C110">
        <v>97</v>
      </c>
      <c r="D110">
        <v>88</v>
      </c>
      <c r="E110">
        <v>2279</v>
      </c>
      <c r="F110">
        <v>19</v>
      </c>
      <c r="G110">
        <v>73</v>
      </c>
      <c r="H110" t="s">
        <v>24</v>
      </c>
      <c r="I110" t="s">
        <v>104</v>
      </c>
    </row>
    <row r="111" spans="1:9" x14ac:dyDescent="0.45">
      <c r="A111">
        <v>21</v>
      </c>
      <c r="B111">
        <v>4</v>
      </c>
      <c r="C111">
        <v>140</v>
      </c>
      <c r="D111">
        <v>72</v>
      </c>
      <c r="E111">
        <v>2401</v>
      </c>
      <c r="F111">
        <v>19.5</v>
      </c>
      <c r="G111">
        <v>73</v>
      </c>
      <c r="H111" t="s">
        <v>9</v>
      </c>
      <c r="I111" t="s">
        <v>66</v>
      </c>
    </row>
    <row r="112" spans="1:9" x14ac:dyDescent="0.45">
      <c r="A112">
        <v>22</v>
      </c>
      <c r="B112">
        <v>4</v>
      </c>
      <c r="C112">
        <v>108</v>
      </c>
      <c r="D112">
        <v>94</v>
      </c>
      <c r="E112">
        <v>2379</v>
      </c>
      <c r="F112">
        <v>16.5</v>
      </c>
      <c r="G112">
        <v>73</v>
      </c>
      <c r="H112" t="s">
        <v>24</v>
      </c>
      <c r="I112" t="s">
        <v>105</v>
      </c>
    </row>
    <row r="113" spans="1:9" x14ac:dyDescent="0.45">
      <c r="A113">
        <v>18</v>
      </c>
      <c r="B113">
        <v>3</v>
      </c>
      <c r="C113">
        <v>70</v>
      </c>
      <c r="D113">
        <v>90</v>
      </c>
      <c r="E113">
        <v>2124</v>
      </c>
      <c r="F113">
        <v>13.5</v>
      </c>
      <c r="G113">
        <v>73</v>
      </c>
      <c r="H113" t="s">
        <v>24</v>
      </c>
      <c r="I113" t="s">
        <v>106</v>
      </c>
    </row>
    <row r="114" spans="1:9" x14ac:dyDescent="0.45">
      <c r="A114">
        <v>19</v>
      </c>
      <c r="B114">
        <v>4</v>
      </c>
      <c r="C114">
        <v>122</v>
      </c>
      <c r="D114">
        <v>85</v>
      </c>
      <c r="E114">
        <v>2310</v>
      </c>
      <c r="F114">
        <v>18.5</v>
      </c>
      <c r="G114">
        <v>73</v>
      </c>
      <c r="H114" t="s">
        <v>9</v>
      </c>
      <c r="I114" t="s">
        <v>43</v>
      </c>
    </row>
    <row r="115" spans="1:9" x14ac:dyDescent="0.45">
      <c r="A115">
        <v>21</v>
      </c>
      <c r="B115">
        <v>6</v>
      </c>
      <c r="C115">
        <v>155</v>
      </c>
      <c r="D115">
        <v>107</v>
      </c>
      <c r="E115">
        <v>2472</v>
      </c>
      <c r="F115">
        <v>14</v>
      </c>
      <c r="G115">
        <v>73</v>
      </c>
      <c r="H115" t="s">
        <v>9</v>
      </c>
      <c r="I115" t="s">
        <v>107</v>
      </c>
    </row>
    <row r="116" spans="1:9" x14ac:dyDescent="0.45">
      <c r="A116">
        <v>26</v>
      </c>
      <c r="B116">
        <v>4</v>
      </c>
      <c r="C116">
        <v>98</v>
      </c>
      <c r="D116">
        <v>90</v>
      </c>
      <c r="E116">
        <v>2265</v>
      </c>
      <c r="F116">
        <v>15.5</v>
      </c>
      <c r="G116">
        <v>73</v>
      </c>
      <c r="H116" t="s">
        <v>30</v>
      </c>
      <c r="I116" t="s">
        <v>108</v>
      </c>
    </row>
    <row r="117" spans="1:9" x14ac:dyDescent="0.45">
      <c r="A117">
        <v>15</v>
      </c>
      <c r="B117">
        <v>8</v>
      </c>
      <c r="C117">
        <v>350</v>
      </c>
      <c r="D117">
        <v>145</v>
      </c>
      <c r="E117">
        <v>4082</v>
      </c>
      <c r="F117">
        <v>13</v>
      </c>
      <c r="G117">
        <v>73</v>
      </c>
      <c r="H117" t="s">
        <v>9</v>
      </c>
      <c r="I117" t="s">
        <v>109</v>
      </c>
    </row>
    <row r="118" spans="1:9" x14ac:dyDescent="0.45">
      <c r="A118">
        <v>16</v>
      </c>
      <c r="B118">
        <v>8</v>
      </c>
      <c r="C118">
        <v>400</v>
      </c>
      <c r="D118">
        <v>230</v>
      </c>
      <c r="E118">
        <v>4278</v>
      </c>
      <c r="F118">
        <v>9.5</v>
      </c>
      <c r="G118">
        <v>73</v>
      </c>
      <c r="H118" t="s">
        <v>9</v>
      </c>
      <c r="I118" t="s">
        <v>110</v>
      </c>
    </row>
    <row r="119" spans="1:9" x14ac:dyDescent="0.45">
      <c r="A119">
        <v>29</v>
      </c>
      <c r="B119">
        <v>4</v>
      </c>
      <c r="C119">
        <v>68</v>
      </c>
      <c r="D119">
        <v>49</v>
      </c>
      <c r="E119">
        <v>1867</v>
      </c>
      <c r="F119">
        <v>19.5</v>
      </c>
      <c r="G119">
        <v>73</v>
      </c>
      <c r="H119" t="s">
        <v>30</v>
      </c>
      <c r="I119" t="s">
        <v>111</v>
      </c>
    </row>
    <row r="120" spans="1:9" x14ac:dyDescent="0.45">
      <c r="A120">
        <v>24</v>
      </c>
      <c r="B120">
        <v>4</v>
      </c>
      <c r="C120">
        <v>116</v>
      </c>
      <c r="D120">
        <v>75</v>
      </c>
      <c r="E120">
        <v>2158</v>
      </c>
      <c r="F120">
        <v>15.5</v>
      </c>
      <c r="G120">
        <v>73</v>
      </c>
      <c r="H120" t="s">
        <v>30</v>
      </c>
      <c r="I120" t="s">
        <v>112</v>
      </c>
    </row>
    <row r="121" spans="1:9" x14ac:dyDescent="0.45">
      <c r="A121">
        <v>20</v>
      </c>
      <c r="B121">
        <v>4</v>
      </c>
      <c r="C121">
        <v>114</v>
      </c>
      <c r="D121">
        <v>91</v>
      </c>
      <c r="E121">
        <v>2582</v>
      </c>
      <c r="F121">
        <v>14</v>
      </c>
      <c r="G121">
        <v>73</v>
      </c>
      <c r="H121" t="s">
        <v>30</v>
      </c>
      <c r="I121" t="s">
        <v>113</v>
      </c>
    </row>
    <row r="122" spans="1:9" x14ac:dyDescent="0.45">
      <c r="A122">
        <v>19</v>
      </c>
      <c r="B122">
        <v>4</v>
      </c>
      <c r="C122">
        <v>121</v>
      </c>
      <c r="D122">
        <v>112</v>
      </c>
      <c r="E122">
        <v>2868</v>
      </c>
      <c r="F122">
        <v>15.5</v>
      </c>
      <c r="G122">
        <v>73</v>
      </c>
      <c r="H122" t="s">
        <v>30</v>
      </c>
      <c r="I122" t="s">
        <v>114</v>
      </c>
    </row>
    <row r="123" spans="1:9" x14ac:dyDescent="0.45">
      <c r="A123">
        <v>15</v>
      </c>
      <c r="B123">
        <v>8</v>
      </c>
      <c r="C123">
        <v>318</v>
      </c>
      <c r="D123">
        <v>150</v>
      </c>
      <c r="E123">
        <v>3399</v>
      </c>
      <c r="F123">
        <v>11</v>
      </c>
      <c r="G123">
        <v>73</v>
      </c>
      <c r="H123" t="s">
        <v>9</v>
      </c>
      <c r="I123" t="s">
        <v>115</v>
      </c>
    </row>
    <row r="124" spans="1:9" x14ac:dyDescent="0.45">
      <c r="A124">
        <v>24</v>
      </c>
      <c r="B124">
        <v>4</v>
      </c>
      <c r="C124">
        <v>121</v>
      </c>
      <c r="D124">
        <v>110</v>
      </c>
      <c r="E124">
        <v>2660</v>
      </c>
      <c r="F124">
        <v>14</v>
      </c>
      <c r="G124">
        <v>73</v>
      </c>
      <c r="H124" t="s">
        <v>30</v>
      </c>
      <c r="I124" t="s">
        <v>116</v>
      </c>
    </row>
    <row r="125" spans="1:9" x14ac:dyDescent="0.45">
      <c r="A125">
        <v>20</v>
      </c>
      <c r="B125">
        <v>6</v>
      </c>
      <c r="C125">
        <v>156</v>
      </c>
      <c r="D125">
        <v>122</v>
      </c>
      <c r="E125">
        <v>2807</v>
      </c>
      <c r="F125">
        <v>13.5</v>
      </c>
      <c r="G125">
        <v>73</v>
      </c>
      <c r="H125" t="s">
        <v>24</v>
      </c>
      <c r="I125" t="s">
        <v>117</v>
      </c>
    </row>
    <row r="126" spans="1:9" x14ac:dyDescent="0.45">
      <c r="A126">
        <v>11</v>
      </c>
      <c r="B126">
        <v>8</v>
      </c>
      <c r="C126">
        <v>350</v>
      </c>
      <c r="D126">
        <v>180</v>
      </c>
      <c r="E126">
        <v>3664</v>
      </c>
      <c r="F126">
        <v>11</v>
      </c>
      <c r="G126">
        <v>73</v>
      </c>
      <c r="H126" t="s">
        <v>9</v>
      </c>
      <c r="I126" t="s">
        <v>118</v>
      </c>
    </row>
    <row r="127" spans="1:9" x14ac:dyDescent="0.45">
      <c r="A127">
        <v>20</v>
      </c>
      <c r="B127">
        <v>6</v>
      </c>
      <c r="C127">
        <v>198</v>
      </c>
      <c r="D127">
        <v>95</v>
      </c>
      <c r="E127">
        <v>3102</v>
      </c>
      <c r="F127">
        <v>16.5</v>
      </c>
      <c r="G127">
        <v>74</v>
      </c>
      <c r="H127" t="s">
        <v>9</v>
      </c>
      <c r="I127" t="s">
        <v>26</v>
      </c>
    </row>
    <row r="128" spans="1:9" x14ac:dyDescent="0.45">
      <c r="A128">
        <v>21</v>
      </c>
      <c r="B128">
        <v>6</v>
      </c>
      <c r="C128">
        <v>200</v>
      </c>
      <c r="E128">
        <v>2875</v>
      </c>
      <c r="F128">
        <v>17</v>
      </c>
      <c r="G128">
        <v>74</v>
      </c>
      <c r="H128" t="s">
        <v>9</v>
      </c>
      <c r="I128" t="s">
        <v>28</v>
      </c>
    </row>
    <row r="129" spans="1:9" x14ac:dyDescent="0.45">
      <c r="A129">
        <v>19</v>
      </c>
      <c r="B129">
        <v>6</v>
      </c>
      <c r="C129">
        <v>232</v>
      </c>
      <c r="D129">
        <v>100</v>
      </c>
      <c r="E129">
        <v>2901</v>
      </c>
      <c r="F129">
        <v>16</v>
      </c>
      <c r="G129">
        <v>74</v>
      </c>
      <c r="H129" t="s">
        <v>9</v>
      </c>
      <c r="I129" t="s">
        <v>27</v>
      </c>
    </row>
    <row r="130" spans="1:9" x14ac:dyDescent="0.45">
      <c r="A130">
        <v>15</v>
      </c>
      <c r="B130">
        <v>6</v>
      </c>
      <c r="C130">
        <v>250</v>
      </c>
      <c r="D130">
        <v>100</v>
      </c>
      <c r="E130">
        <v>3336</v>
      </c>
      <c r="F130">
        <v>17</v>
      </c>
      <c r="G130">
        <v>74</v>
      </c>
      <c r="H130" t="s">
        <v>9</v>
      </c>
      <c r="I130" t="s">
        <v>119</v>
      </c>
    </row>
    <row r="131" spans="1:9" x14ac:dyDescent="0.45">
      <c r="A131">
        <v>31</v>
      </c>
      <c r="B131">
        <v>4</v>
      </c>
      <c r="C131">
        <v>79</v>
      </c>
      <c r="D131">
        <v>67</v>
      </c>
      <c r="E131">
        <v>1950</v>
      </c>
      <c r="F131">
        <v>19</v>
      </c>
      <c r="G131">
        <v>74</v>
      </c>
      <c r="H131" t="s">
        <v>24</v>
      </c>
      <c r="I131" t="s">
        <v>120</v>
      </c>
    </row>
    <row r="132" spans="1:9" x14ac:dyDescent="0.45">
      <c r="A132">
        <v>26</v>
      </c>
      <c r="B132">
        <v>4</v>
      </c>
      <c r="C132">
        <v>122</v>
      </c>
      <c r="D132">
        <v>80</v>
      </c>
      <c r="E132">
        <v>2451</v>
      </c>
      <c r="F132">
        <v>16.5</v>
      </c>
      <c r="G132">
        <v>74</v>
      </c>
      <c r="H132" t="s">
        <v>9</v>
      </c>
      <c r="I132" t="s">
        <v>43</v>
      </c>
    </row>
    <row r="133" spans="1:9" x14ac:dyDescent="0.45">
      <c r="A133">
        <v>32</v>
      </c>
      <c r="B133">
        <v>4</v>
      </c>
      <c r="C133">
        <v>71</v>
      </c>
      <c r="D133">
        <v>65</v>
      </c>
      <c r="E133">
        <v>1836</v>
      </c>
      <c r="F133">
        <v>21</v>
      </c>
      <c r="G133">
        <v>74</v>
      </c>
      <c r="H133" t="s">
        <v>24</v>
      </c>
      <c r="I133" t="s">
        <v>59</v>
      </c>
    </row>
    <row r="134" spans="1:9" x14ac:dyDescent="0.45">
      <c r="A134">
        <v>25</v>
      </c>
      <c r="B134">
        <v>4</v>
      </c>
      <c r="C134">
        <v>140</v>
      </c>
      <c r="D134">
        <v>75</v>
      </c>
      <c r="E134">
        <v>2542</v>
      </c>
      <c r="F134">
        <v>17</v>
      </c>
      <c r="G134">
        <v>74</v>
      </c>
      <c r="H134" t="s">
        <v>9</v>
      </c>
      <c r="I134" t="s">
        <v>66</v>
      </c>
    </row>
    <row r="135" spans="1:9" x14ac:dyDescent="0.45">
      <c r="A135">
        <v>16</v>
      </c>
      <c r="B135">
        <v>6</v>
      </c>
      <c r="C135">
        <v>250</v>
      </c>
      <c r="D135">
        <v>100</v>
      </c>
      <c r="E135">
        <v>3781</v>
      </c>
      <c r="F135">
        <v>17</v>
      </c>
      <c r="G135">
        <v>74</v>
      </c>
      <c r="H135" t="s">
        <v>9</v>
      </c>
      <c r="I135" t="s">
        <v>121</v>
      </c>
    </row>
    <row r="136" spans="1:9" x14ac:dyDescent="0.45">
      <c r="A136">
        <v>16</v>
      </c>
      <c r="B136">
        <v>6</v>
      </c>
      <c r="C136">
        <v>258</v>
      </c>
      <c r="D136">
        <v>110</v>
      </c>
      <c r="E136">
        <v>3632</v>
      </c>
      <c r="F136">
        <v>18</v>
      </c>
      <c r="G136">
        <v>74</v>
      </c>
      <c r="H136" t="s">
        <v>9</v>
      </c>
      <c r="I136" t="s">
        <v>46</v>
      </c>
    </row>
    <row r="137" spans="1:9" x14ac:dyDescent="0.45">
      <c r="A137">
        <v>18</v>
      </c>
      <c r="B137">
        <v>6</v>
      </c>
      <c r="C137">
        <v>225</v>
      </c>
      <c r="D137">
        <v>105</v>
      </c>
      <c r="E137">
        <v>3613</v>
      </c>
      <c r="F137">
        <v>16.5</v>
      </c>
      <c r="G137">
        <v>74</v>
      </c>
      <c r="H137" t="s">
        <v>9</v>
      </c>
      <c r="I137" t="s">
        <v>122</v>
      </c>
    </row>
    <row r="138" spans="1:9" x14ac:dyDescent="0.45">
      <c r="A138">
        <v>16</v>
      </c>
      <c r="B138">
        <v>8</v>
      </c>
      <c r="C138">
        <v>302</v>
      </c>
      <c r="D138">
        <v>140</v>
      </c>
      <c r="E138">
        <v>4141</v>
      </c>
      <c r="F138">
        <v>14</v>
      </c>
      <c r="G138">
        <v>74</v>
      </c>
      <c r="H138" t="s">
        <v>9</v>
      </c>
      <c r="I138" t="s">
        <v>89</v>
      </c>
    </row>
    <row r="139" spans="1:9" x14ac:dyDescent="0.45">
      <c r="A139">
        <v>13</v>
      </c>
      <c r="B139">
        <v>8</v>
      </c>
      <c r="C139">
        <v>350</v>
      </c>
      <c r="D139">
        <v>150</v>
      </c>
      <c r="E139">
        <v>4699</v>
      </c>
      <c r="F139">
        <v>14.5</v>
      </c>
      <c r="G139">
        <v>74</v>
      </c>
      <c r="H139" t="s">
        <v>9</v>
      </c>
      <c r="I139" t="s">
        <v>123</v>
      </c>
    </row>
    <row r="140" spans="1:9" x14ac:dyDescent="0.45">
      <c r="A140">
        <v>14</v>
      </c>
      <c r="B140">
        <v>8</v>
      </c>
      <c r="C140">
        <v>318</v>
      </c>
      <c r="D140">
        <v>150</v>
      </c>
      <c r="E140">
        <v>4457</v>
      </c>
      <c r="F140">
        <v>13.5</v>
      </c>
      <c r="G140">
        <v>74</v>
      </c>
      <c r="H140" t="s">
        <v>9</v>
      </c>
      <c r="I140" t="s">
        <v>124</v>
      </c>
    </row>
    <row r="141" spans="1:9" x14ac:dyDescent="0.45">
      <c r="A141">
        <v>14</v>
      </c>
      <c r="B141">
        <v>8</v>
      </c>
      <c r="C141">
        <v>302</v>
      </c>
      <c r="D141">
        <v>140</v>
      </c>
      <c r="E141">
        <v>4638</v>
      </c>
      <c r="F141">
        <v>16</v>
      </c>
      <c r="G141">
        <v>74</v>
      </c>
      <c r="H141" t="s">
        <v>9</v>
      </c>
      <c r="I141" t="s">
        <v>76</v>
      </c>
    </row>
    <row r="142" spans="1:9" x14ac:dyDescent="0.45">
      <c r="A142">
        <v>14</v>
      </c>
      <c r="B142">
        <v>8</v>
      </c>
      <c r="C142">
        <v>304</v>
      </c>
      <c r="D142">
        <v>150</v>
      </c>
      <c r="E142">
        <v>4257</v>
      </c>
      <c r="F142">
        <v>15.5</v>
      </c>
      <c r="G142">
        <v>74</v>
      </c>
      <c r="H142" t="s">
        <v>9</v>
      </c>
      <c r="I142" t="s">
        <v>74</v>
      </c>
    </row>
    <row r="143" spans="1:9" x14ac:dyDescent="0.45">
      <c r="A143">
        <v>29</v>
      </c>
      <c r="B143">
        <v>4</v>
      </c>
      <c r="C143">
        <v>98</v>
      </c>
      <c r="D143">
        <v>83</v>
      </c>
      <c r="E143">
        <v>2219</v>
      </c>
      <c r="F143">
        <v>16.5</v>
      </c>
      <c r="G143">
        <v>74</v>
      </c>
      <c r="H143" t="s">
        <v>30</v>
      </c>
      <c r="I143" t="s">
        <v>125</v>
      </c>
    </row>
    <row r="144" spans="1:9" x14ac:dyDescent="0.45">
      <c r="A144">
        <v>26</v>
      </c>
      <c r="B144">
        <v>4</v>
      </c>
      <c r="C144">
        <v>79</v>
      </c>
      <c r="D144">
        <v>67</v>
      </c>
      <c r="E144">
        <v>1963</v>
      </c>
      <c r="F144">
        <v>15.5</v>
      </c>
      <c r="G144">
        <v>74</v>
      </c>
      <c r="H144" t="s">
        <v>30</v>
      </c>
      <c r="I144" t="s">
        <v>126</v>
      </c>
    </row>
    <row r="145" spans="1:9" x14ac:dyDescent="0.45">
      <c r="A145">
        <v>26</v>
      </c>
      <c r="B145">
        <v>4</v>
      </c>
      <c r="C145">
        <v>97</v>
      </c>
      <c r="D145">
        <v>78</v>
      </c>
      <c r="E145">
        <v>2300</v>
      </c>
      <c r="F145">
        <v>14.5</v>
      </c>
      <c r="G145">
        <v>74</v>
      </c>
      <c r="H145" t="s">
        <v>30</v>
      </c>
      <c r="I145" t="s">
        <v>112</v>
      </c>
    </row>
    <row r="146" spans="1:9" x14ac:dyDescent="0.45">
      <c r="A146">
        <v>31</v>
      </c>
      <c r="B146">
        <v>4</v>
      </c>
      <c r="C146">
        <v>76</v>
      </c>
      <c r="D146">
        <v>52</v>
      </c>
      <c r="E146">
        <v>1649</v>
      </c>
      <c r="F146">
        <v>16.5</v>
      </c>
      <c r="G146">
        <v>74</v>
      </c>
      <c r="H146" t="s">
        <v>24</v>
      </c>
      <c r="I146" t="s">
        <v>42</v>
      </c>
    </row>
    <row r="147" spans="1:9" x14ac:dyDescent="0.45">
      <c r="A147">
        <v>32</v>
      </c>
      <c r="B147">
        <v>4</v>
      </c>
      <c r="C147">
        <v>83</v>
      </c>
      <c r="D147">
        <v>61</v>
      </c>
      <c r="E147">
        <v>2003</v>
      </c>
      <c r="F147">
        <v>19</v>
      </c>
      <c r="G147">
        <v>74</v>
      </c>
      <c r="H147" t="s">
        <v>24</v>
      </c>
      <c r="I147" t="s">
        <v>127</v>
      </c>
    </row>
    <row r="148" spans="1:9" x14ac:dyDescent="0.45">
      <c r="A148">
        <v>28</v>
      </c>
      <c r="B148">
        <v>4</v>
      </c>
      <c r="C148">
        <v>90</v>
      </c>
      <c r="D148">
        <v>75</v>
      </c>
      <c r="E148">
        <v>2125</v>
      </c>
      <c r="F148">
        <v>14.5</v>
      </c>
      <c r="G148">
        <v>74</v>
      </c>
      <c r="H148" t="s">
        <v>9</v>
      </c>
      <c r="I148" t="s">
        <v>128</v>
      </c>
    </row>
    <row r="149" spans="1:9" x14ac:dyDescent="0.45">
      <c r="A149">
        <v>24</v>
      </c>
      <c r="B149">
        <v>4</v>
      </c>
      <c r="C149">
        <v>90</v>
      </c>
      <c r="D149">
        <v>75</v>
      </c>
      <c r="E149">
        <v>2108</v>
      </c>
      <c r="F149">
        <v>15.5</v>
      </c>
      <c r="G149">
        <v>74</v>
      </c>
      <c r="H149" t="s">
        <v>30</v>
      </c>
      <c r="I149" t="s">
        <v>111</v>
      </c>
    </row>
    <row r="150" spans="1:9" x14ac:dyDescent="0.45">
      <c r="A150">
        <v>26</v>
      </c>
      <c r="B150">
        <v>4</v>
      </c>
      <c r="C150">
        <v>116</v>
      </c>
      <c r="D150">
        <v>75</v>
      </c>
      <c r="E150">
        <v>2246</v>
      </c>
      <c r="F150">
        <v>14</v>
      </c>
      <c r="G150">
        <v>74</v>
      </c>
      <c r="H150" t="s">
        <v>30</v>
      </c>
      <c r="I150" t="s">
        <v>129</v>
      </c>
    </row>
    <row r="151" spans="1:9" x14ac:dyDescent="0.45">
      <c r="A151">
        <v>24</v>
      </c>
      <c r="B151">
        <v>4</v>
      </c>
      <c r="C151">
        <v>120</v>
      </c>
      <c r="D151">
        <v>97</v>
      </c>
      <c r="E151">
        <v>2489</v>
      </c>
      <c r="F151">
        <v>15</v>
      </c>
      <c r="G151">
        <v>74</v>
      </c>
      <c r="H151" t="s">
        <v>24</v>
      </c>
      <c r="I151" t="s">
        <v>130</v>
      </c>
    </row>
    <row r="152" spans="1:9" x14ac:dyDescent="0.45">
      <c r="A152">
        <v>26</v>
      </c>
      <c r="B152">
        <v>4</v>
      </c>
      <c r="C152">
        <v>108</v>
      </c>
      <c r="D152">
        <v>93</v>
      </c>
      <c r="E152">
        <v>2391</v>
      </c>
      <c r="F152">
        <v>15.5</v>
      </c>
      <c r="G152">
        <v>74</v>
      </c>
      <c r="H152" t="s">
        <v>24</v>
      </c>
      <c r="I152" t="s">
        <v>131</v>
      </c>
    </row>
    <row r="153" spans="1:9" x14ac:dyDescent="0.45">
      <c r="A153">
        <v>31</v>
      </c>
      <c r="B153">
        <v>4</v>
      </c>
      <c r="C153">
        <v>79</v>
      </c>
      <c r="D153">
        <v>67</v>
      </c>
      <c r="E153">
        <v>2000</v>
      </c>
      <c r="F153">
        <v>16</v>
      </c>
      <c r="G153">
        <v>74</v>
      </c>
      <c r="H153" t="s">
        <v>30</v>
      </c>
      <c r="I153" t="s">
        <v>132</v>
      </c>
    </row>
    <row r="154" spans="1:9" x14ac:dyDescent="0.45">
      <c r="A154">
        <v>19</v>
      </c>
      <c r="B154">
        <v>6</v>
      </c>
      <c r="C154">
        <v>225</v>
      </c>
      <c r="D154">
        <v>95</v>
      </c>
      <c r="E154">
        <v>3264</v>
      </c>
      <c r="F154">
        <v>16</v>
      </c>
      <c r="G154">
        <v>75</v>
      </c>
      <c r="H154" t="s">
        <v>9</v>
      </c>
      <c r="I154" t="s">
        <v>133</v>
      </c>
    </row>
    <row r="155" spans="1:9" x14ac:dyDescent="0.45">
      <c r="A155">
        <v>18</v>
      </c>
      <c r="B155">
        <v>6</v>
      </c>
      <c r="C155">
        <v>250</v>
      </c>
      <c r="D155">
        <v>105</v>
      </c>
      <c r="E155">
        <v>3459</v>
      </c>
      <c r="F155">
        <v>16</v>
      </c>
      <c r="G155">
        <v>75</v>
      </c>
      <c r="H155" t="s">
        <v>9</v>
      </c>
      <c r="I155" t="s">
        <v>119</v>
      </c>
    </row>
    <row r="156" spans="1:9" x14ac:dyDescent="0.45">
      <c r="A156">
        <v>15</v>
      </c>
      <c r="B156">
        <v>6</v>
      </c>
      <c r="C156">
        <v>250</v>
      </c>
      <c r="D156">
        <v>72</v>
      </c>
      <c r="E156">
        <v>3432</v>
      </c>
      <c r="F156">
        <v>21</v>
      </c>
      <c r="G156">
        <v>75</v>
      </c>
      <c r="H156" t="s">
        <v>9</v>
      </c>
      <c r="I156" t="s">
        <v>134</v>
      </c>
    </row>
    <row r="157" spans="1:9" x14ac:dyDescent="0.45">
      <c r="A157">
        <v>15</v>
      </c>
      <c r="B157">
        <v>6</v>
      </c>
      <c r="C157">
        <v>250</v>
      </c>
      <c r="D157">
        <v>72</v>
      </c>
      <c r="E157">
        <v>3158</v>
      </c>
      <c r="F157">
        <v>19.5</v>
      </c>
      <c r="G157">
        <v>75</v>
      </c>
      <c r="H157" t="s">
        <v>9</v>
      </c>
      <c r="I157" t="s">
        <v>28</v>
      </c>
    </row>
    <row r="158" spans="1:9" x14ac:dyDescent="0.45">
      <c r="A158">
        <v>16</v>
      </c>
      <c r="B158">
        <v>8</v>
      </c>
      <c r="C158">
        <v>400</v>
      </c>
      <c r="D158">
        <v>170</v>
      </c>
      <c r="E158">
        <v>4668</v>
      </c>
      <c r="F158">
        <v>11.5</v>
      </c>
      <c r="G158">
        <v>75</v>
      </c>
      <c r="H158" t="s">
        <v>9</v>
      </c>
      <c r="I158" t="s">
        <v>18</v>
      </c>
    </row>
    <row r="159" spans="1:9" x14ac:dyDescent="0.45">
      <c r="A159">
        <v>15</v>
      </c>
      <c r="B159">
        <v>8</v>
      </c>
      <c r="C159">
        <v>350</v>
      </c>
      <c r="D159">
        <v>145</v>
      </c>
      <c r="E159">
        <v>4440</v>
      </c>
      <c r="F159">
        <v>14</v>
      </c>
      <c r="G159">
        <v>75</v>
      </c>
      <c r="H159" t="s">
        <v>9</v>
      </c>
      <c r="I159" t="s">
        <v>135</v>
      </c>
    </row>
    <row r="160" spans="1:9" x14ac:dyDescent="0.45">
      <c r="A160">
        <v>16</v>
      </c>
      <c r="B160">
        <v>8</v>
      </c>
      <c r="C160">
        <v>318</v>
      </c>
      <c r="D160">
        <v>150</v>
      </c>
      <c r="E160">
        <v>4498</v>
      </c>
      <c r="F160">
        <v>14.5</v>
      </c>
      <c r="G160">
        <v>75</v>
      </c>
      <c r="H160" t="s">
        <v>9</v>
      </c>
      <c r="I160" t="s">
        <v>136</v>
      </c>
    </row>
    <row r="161" spans="1:9" x14ac:dyDescent="0.45">
      <c r="A161">
        <v>14</v>
      </c>
      <c r="B161">
        <v>8</v>
      </c>
      <c r="C161">
        <v>351</v>
      </c>
      <c r="D161">
        <v>148</v>
      </c>
      <c r="E161">
        <v>4657</v>
      </c>
      <c r="F161">
        <v>13.5</v>
      </c>
      <c r="G161">
        <v>75</v>
      </c>
      <c r="H161" t="s">
        <v>9</v>
      </c>
      <c r="I161" t="s">
        <v>93</v>
      </c>
    </row>
    <row r="162" spans="1:9" x14ac:dyDescent="0.45">
      <c r="A162">
        <v>17</v>
      </c>
      <c r="B162">
        <v>6</v>
      </c>
      <c r="C162">
        <v>231</v>
      </c>
      <c r="D162">
        <v>110</v>
      </c>
      <c r="E162">
        <v>3907</v>
      </c>
      <c r="F162">
        <v>21</v>
      </c>
      <c r="G162">
        <v>75</v>
      </c>
      <c r="H162" t="s">
        <v>9</v>
      </c>
      <c r="I162" t="s">
        <v>137</v>
      </c>
    </row>
    <row r="163" spans="1:9" x14ac:dyDescent="0.45">
      <c r="A163">
        <v>16</v>
      </c>
      <c r="B163">
        <v>6</v>
      </c>
      <c r="C163">
        <v>250</v>
      </c>
      <c r="D163">
        <v>105</v>
      </c>
      <c r="E163">
        <v>3897</v>
      </c>
      <c r="F163">
        <v>18.5</v>
      </c>
      <c r="G163">
        <v>75</v>
      </c>
      <c r="H163" t="s">
        <v>9</v>
      </c>
      <c r="I163" t="s">
        <v>138</v>
      </c>
    </row>
    <row r="164" spans="1:9" x14ac:dyDescent="0.45">
      <c r="A164">
        <v>15</v>
      </c>
      <c r="B164">
        <v>6</v>
      </c>
      <c r="C164">
        <v>258</v>
      </c>
      <c r="D164">
        <v>110</v>
      </c>
      <c r="E164">
        <v>3730</v>
      </c>
      <c r="F164">
        <v>19</v>
      </c>
      <c r="G164">
        <v>75</v>
      </c>
      <c r="H164" t="s">
        <v>9</v>
      </c>
      <c r="I164" t="s">
        <v>46</v>
      </c>
    </row>
    <row r="165" spans="1:9" x14ac:dyDescent="0.45">
      <c r="A165">
        <v>18</v>
      </c>
      <c r="B165">
        <v>6</v>
      </c>
      <c r="C165">
        <v>225</v>
      </c>
      <c r="D165">
        <v>95</v>
      </c>
      <c r="E165">
        <v>3785</v>
      </c>
      <c r="F165">
        <v>19</v>
      </c>
      <c r="G165">
        <v>75</v>
      </c>
      <c r="H165" t="s">
        <v>9</v>
      </c>
      <c r="I165" t="s">
        <v>139</v>
      </c>
    </row>
    <row r="166" spans="1:9" x14ac:dyDescent="0.45">
      <c r="A166">
        <v>21</v>
      </c>
      <c r="B166">
        <v>6</v>
      </c>
      <c r="C166">
        <v>231</v>
      </c>
      <c r="D166">
        <v>110</v>
      </c>
      <c r="E166">
        <v>3039</v>
      </c>
      <c r="F166">
        <v>15</v>
      </c>
      <c r="G166">
        <v>75</v>
      </c>
      <c r="H166" t="s">
        <v>9</v>
      </c>
      <c r="I166" t="s">
        <v>140</v>
      </c>
    </row>
    <row r="167" spans="1:9" x14ac:dyDescent="0.45">
      <c r="A167">
        <v>20</v>
      </c>
      <c r="B167">
        <v>8</v>
      </c>
      <c r="C167">
        <v>262</v>
      </c>
      <c r="D167">
        <v>110</v>
      </c>
      <c r="E167">
        <v>3221</v>
      </c>
      <c r="F167">
        <v>13.5</v>
      </c>
      <c r="G167">
        <v>75</v>
      </c>
      <c r="H167" t="s">
        <v>9</v>
      </c>
      <c r="I167" t="s">
        <v>141</v>
      </c>
    </row>
    <row r="168" spans="1:9" x14ac:dyDescent="0.45">
      <c r="A168">
        <v>13</v>
      </c>
      <c r="B168">
        <v>8</v>
      </c>
      <c r="C168">
        <v>302</v>
      </c>
      <c r="D168">
        <v>129</v>
      </c>
      <c r="E168">
        <v>3169</v>
      </c>
      <c r="F168">
        <v>12</v>
      </c>
      <c r="G168">
        <v>75</v>
      </c>
      <c r="H168" t="s">
        <v>9</v>
      </c>
      <c r="I168" t="s">
        <v>142</v>
      </c>
    </row>
    <row r="169" spans="1:9" x14ac:dyDescent="0.45">
      <c r="A169">
        <v>29</v>
      </c>
      <c r="B169">
        <v>4</v>
      </c>
      <c r="C169">
        <v>97</v>
      </c>
      <c r="D169">
        <v>75</v>
      </c>
      <c r="E169">
        <v>2171</v>
      </c>
      <c r="F169">
        <v>16</v>
      </c>
      <c r="G169">
        <v>75</v>
      </c>
      <c r="H169" t="s">
        <v>24</v>
      </c>
      <c r="I169" t="s">
        <v>143</v>
      </c>
    </row>
    <row r="170" spans="1:9" x14ac:dyDescent="0.45">
      <c r="A170">
        <v>23</v>
      </c>
      <c r="B170">
        <v>4</v>
      </c>
      <c r="C170">
        <v>140</v>
      </c>
      <c r="D170">
        <v>83</v>
      </c>
      <c r="E170">
        <v>2639</v>
      </c>
      <c r="F170">
        <v>17</v>
      </c>
      <c r="G170">
        <v>75</v>
      </c>
      <c r="H170" t="s">
        <v>9</v>
      </c>
      <c r="I170" t="s">
        <v>43</v>
      </c>
    </row>
    <row r="171" spans="1:9" x14ac:dyDescent="0.45">
      <c r="A171">
        <v>20</v>
      </c>
      <c r="B171">
        <v>6</v>
      </c>
      <c r="C171">
        <v>232</v>
      </c>
      <c r="D171">
        <v>100</v>
      </c>
      <c r="E171">
        <v>2914</v>
      </c>
      <c r="F171">
        <v>16</v>
      </c>
      <c r="G171">
        <v>75</v>
      </c>
      <c r="H171" t="s">
        <v>9</v>
      </c>
      <c r="I171" t="s">
        <v>36</v>
      </c>
    </row>
    <row r="172" spans="1:9" x14ac:dyDescent="0.45">
      <c r="A172">
        <v>23</v>
      </c>
      <c r="B172">
        <v>4</v>
      </c>
      <c r="C172">
        <v>140</v>
      </c>
      <c r="D172">
        <v>78</v>
      </c>
      <c r="E172">
        <v>2592</v>
      </c>
      <c r="F172">
        <v>18.5</v>
      </c>
      <c r="G172">
        <v>75</v>
      </c>
      <c r="H172" t="s">
        <v>9</v>
      </c>
      <c r="I172" t="s">
        <v>144</v>
      </c>
    </row>
    <row r="173" spans="1:9" x14ac:dyDescent="0.45">
      <c r="A173">
        <v>24</v>
      </c>
      <c r="B173">
        <v>4</v>
      </c>
      <c r="C173">
        <v>134</v>
      </c>
      <c r="D173">
        <v>96</v>
      </c>
      <c r="E173">
        <v>2702</v>
      </c>
      <c r="F173">
        <v>13.5</v>
      </c>
      <c r="G173">
        <v>75</v>
      </c>
      <c r="H173" t="s">
        <v>24</v>
      </c>
      <c r="I173" t="s">
        <v>42</v>
      </c>
    </row>
    <row r="174" spans="1:9" x14ac:dyDescent="0.45">
      <c r="A174">
        <v>25</v>
      </c>
      <c r="B174">
        <v>4</v>
      </c>
      <c r="C174">
        <v>90</v>
      </c>
      <c r="D174">
        <v>71</v>
      </c>
      <c r="E174">
        <v>2223</v>
      </c>
      <c r="F174">
        <v>16.5</v>
      </c>
      <c r="G174">
        <v>75</v>
      </c>
      <c r="H174" t="s">
        <v>30</v>
      </c>
      <c r="I174" t="s">
        <v>126</v>
      </c>
    </row>
    <row r="175" spans="1:9" x14ac:dyDescent="0.45">
      <c r="A175">
        <v>24</v>
      </c>
      <c r="B175">
        <v>4</v>
      </c>
      <c r="C175">
        <v>119</v>
      </c>
      <c r="D175">
        <v>97</v>
      </c>
      <c r="E175">
        <v>2545</v>
      </c>
      <c r="F175">
        <v>17</v>
      </c>
      <c r="G175">
        <v>75</v>
      </c>
      <c r="H175" t="s">
        <v>24</v>
      </c>
      <c r="I175" t="s">
        <v>127</v>
      </c>
    </row>
    <row r="176" spans="1:9" x14ac:dyDescent="0.45">
      <c r="A176">
        <v>18</v>
      </c>
      <c r="B176">
        <v>6</v>
      </c>
      <c r="C176">
        <v>171</v>
      </c>
      <c r="D176">
        <v>97</v>
      </c>
      <c r="E176">
        <v>2984</v>
      </c>
      <c r="F176">
        <v>14.5</v>
      </c>
      <c r="G176">
        <v>75</v>
      </c>
      <c r="H176" t="s">
        <v>9</v>
      </c>
      <c r="I176" t="s">
        <v>43</v>
      </c>
    </row>
    <row r="177" spans="1:9" x14ac:dyDescent="0.45">
      <c r="A177">
        <v>29</v>
      </c>
      <c r="B177">
        <v>4</v>
      </c>
      <c r="C177">
        <v>90</v>
      </c>
      <c r="D177">
        <v>70</v>
      </c>
      <c r="E177">
        <v>1937</v>
      </c>
      <c r="F177">
        <v>14</v>
      </c>
      <c r="G177">
        <v>75</v>
      </c>
      <c r="H177" t="s">
        <v>30</v>
      </c>
      <c r="I177" t="s">
        <v>145</v>
      </c>
    </row>
    <row r="178" spans="1:9" x14ac:dyDescent="0.45">
      <c r="A178">
        <v>19</v>
      </c>
      <c r="B178">
        <v>6</v>
      </c>
      <c r="C178">
        <v>232</v>
      </c>
      <c r="D178">
        <v>90</v>
      </c>
      <c r="E178">
        <v>3211</v>
      </c>
      <c r="F178">
        <v>17</v>
      </c>
      <c r="G178">
        <v>75</v>
      </c>
      <c r="H178" t="s">
        <v>9</v>
      </c>
      <c r="I178" t="s">
        <v>146</v>
      </c>
    </row>
    <row r="179" spans="1:9" x14ac:dyDescent="0.45">
      <c r="A179">
        <v>23</v>
      </c>
      <c r="B179">
        <v>4</v>
      </c>
      <c r="C179">
        <v>115</v>
      </c>
      <c r="D179">
        <v>95</v>
      </c>
      <c r="E179">
        <v>2694</v>
      </c>
      <c r="F179">
        <v>15</v>
      </c>
      <c r="G179">
        <v>75</v>
      </c>
      <c r="H179" t="s">
        <v>30</v>
      </c>
      <c r="I179" t="s">
        <v>113</v>
      </c>
    </row>
    <row r="180" spans="1:9" x14ac:dyDescent="0.45">
      <c r="A180">
        <v>23</v>
      </c>
      <c r="B180">
        <v>4</v>
      </c>
      <c r="C180">
        <v>120</v>
      </c>
      <c r="D180">
        <v>88</v>
      </c>
      <c r="E180">
        <v>2957</v>
      </c>
      <c r="F180">
        <v>17</v>
      </c>
      <c r="G180">
        <v>75</v>
      </c>
      <c r="H180" t="s">
        <v>30</v>
      </c>
      <c r="I180" t="s">
        <v>32</v>
      </c>
    </row>
    <row r="181" spans="1:9" x14ac:dyDescent="0.45">
      <c r="A181">
        <v>22</v>
      </c>
      <c r="B181">
        <v>4</v>
      </c>
      <c r="C181">
        <v>121</v>
      </c>
      <c r="D181">
        <v>98</v>
      </c>
      <c r="E181">
        <v>2945</v>
      </c>
      <c r="F181">
        <v>14.5</v>
      </c>
      <c r="G181">
        <v>75</v>
      </c>
      <c r="H181" t="s">
        <v>30</v>
      </c>
      <c r="I181" t="s">
        <v>147</v>
      </c>
    </row>
    <row r="182" spans="1:9" x14ac:dyDescent="0.45">
      <c r="A182">
        <v>25</v>
      </c>
      <c r="B182">
        <v>4</v>
      </c>
      <c r="C182">
        <v>121</v>
      </c>
      <c r="D182">
        <v>115</v>
      </c>
      <c r="E182">
        <v>2671</v>
      </c>
      <c r="F182">
        <v>13.5</v>
      </c>
      <c r="G182">
        <v>75</v>
      </c>
      <c r="H182" t="s">
        <v>30</v>
      </c>
      <c r="I182" t="s">
        <v>116</v>
      </c>
    </row>
    <row r="183" spans="1:9" x14ac:dyDescent="0.45">
      <c r="A183">
        <v>33</v>
      </c>
      <c r="B183">
        <v>4</v>
      </c>
      <c r="C183">
        <v>91</v>
      </c>
      <c r="D183">
        <v>53</v>
      </c>
      <c r="E183">
        <v>1795</v>
      </c>
      <c r="F183">
        <v>17.5</v>
      </c>
      <c r="G183">
        <v>75</v>
      </c>
      <c r="H183" t="s">
        <v>24</v>
      </c>
      <c r="I183" t="s">
        <v>148</v>
      </c>
    </row>
    <row r="184" spans="1:9" x14ac:dyDescent="0.45">
      <c r="A184">
        <v>28</v>
      </c>
      <c r="B184">
        <v>4</v>
      </c>
      <c r="C184">
        <v>107</v>
      </c>
      <c r="D184">
        <v>86</v>
      </c>
      <c r="E184">
        <v>2464</v>
      </c>
      <c r="F184">
        <v>15.5</v>
      </c>
      <c r="G184">
        <v>76</v>
      </c>
      <c r="H184" t="s">
        <v>30</v>
      </c>
      <c r="I184" t="s">
        <v>149</v>
      </c>
    </row>
    <row r="185" spans="1:9" x14ac:dyDescent="0.45">
      <c r="A185">
        <v>25</v>
      </c>
      <c r="B185">
        <v>4</v>
      </c>
      <c r="C185">
        <v>116</v>
      </c>
      <c r="D185">
        <v>81</v>
      </c>
      <c r="E185">
        <v>2220</v>
      </c>
      <c r="F185">
        <v>16.899999999999999</v>
      </c>
      <c r="G185">
        <v>76</v>
      </c>
      <c r="H185" t="s">
        <v>30</v>
      </c>
      <c r="I185" t="s">
        <v>56</v>
      </c>
    </row>
    <row r="186" spans="1:9" x14ac:dyDescent="0.45">
      <c r="A186">
        <v>25</v>
      </c>
      <c r="B186">
        <v>4</v>
      </c>
      <c r="C186">
        <v>140</v>
      </c>
      <c r="D186">
        <v>92</v>
      </c>
      <c r="E186">
        <v>2572</v>
      </c>
      <c r="F186">
        <v>14.9</v>
      </c>
      <c r="G186">
        <v>76</v>
      </c>
      <c r="H186" t="s">
        <v>9</v>
      </c>
      <c r="I186" t="s">
        <v>150</v>
      </c>
    </row>
    <row r="187" spans="1:9" x14ac:dyDescent="0.45">
      <c r="A187">
        <v>26</v>
      </c>
      <c r="B187">
        <v>4</v>
      </c>
      <c r="C187">
        <v>98</v>
      </c>
      <c r="D187">
        <v>79</v>
      </c>
      <c r="E187">
        <v>2255</v>
      </c>
      <c r="F187">
        <v>17.7</v>
      </c>
      <c r="G187">
        <v>76</v>
      </c>
      <c r="H187" t="s">
        <v>9</v>
      </c>
      <c r="I187" t="s">
        <v>128</v>
      </c>
    </row>
    <row r="188" spans="1:9" x14ac:dyDescent="0.45">
      <c r="A188">
        <v>27</v>
      </c>
      <c r="B188">
        <v>4</v>
      </c>
      <c r="C188">
        <v>101</v>
      </c>
      <c r="D188">
        <v>83</v>
      </c>
      <c r="E188">
        <v>2202</v>
      </c>
      <c r="F188">
        <v>15.3</v>
      </c>
      <c r="G188">
        <v>76</v>
      </c>
      <c r="H188" t="s">
        <v>30</v>
      </c>
      <c r="I188" t="s">
        <v>151</v>
      </c>
    </row>
    <row r="189" spans="1:9" x14ac:dyDescent="0.45">
      <c r="A189">
        <v>17.5</v>
      </c>
      <c r="B189">
        <v>8</v>
      </c>
      <c r="C189">
        <v>305</v>
      </c>
      <c r="D189">
        <v>140</v>
      </c>
      <c r="E189">
        <v>4215</v>
      </c>
      <c r="F189">
        <v>13</v>
      </c>
      <c r="G189">
        <v>76</v>
      </c>
      <c r="H189" t="s">
        <v>9</v>
      </c>
      <c r="I189" t="s">
        <v>121</v>
      </c>
    </row>
    <row r="190" spans="1:9" x14ac:dyDescent="0.45">
      <c r="A190">
        <v>16</v>
      </c>
      <c r="B190">
        <v>8</v>
      </c>
      <c r="C190">
        <v>318</v>
      </c>
      <c r="D190">
        <v>150</v>
      </c>
      <c r="E190">
        <v>4190</v>
      </c>
      <c r="F190">
        <v>13</v>
      </c>
      <c r="G190">
        <v>76</v>
      </c>
      <c r="H190" t="s">
        <v>9</v>
      </c>
      <c r="I190" t="s">
        <v>152</v>
      </c>
    </row>
    <row r="191" spans="1:9" x14ac:dyDescent="0.45">
      <c r="A191">
        <v>15.5</v>
      </c>
      <c r="B191">
        <v>8</v>
      </c>
      <c r="C191">
        <v>304</v>
      </c>
      <c r="D191">
        <v>120</v>
      </c>
      <c r="E191">
        <v>3962</v>
      </c>
      <c r="F191">
        <v>13.9</v>
      </c>
      <c r="G191">
        <v>76</v>
      </c>
      <c r="H191" t="s">
        <v>9</v>
      </c>
      <c r="I191" t="s">
        <v>46</v>
      </c>
    </row>
    <row r="192" spans="1:9" x14ac:dyDescent="0.45">
      <c r="A192">
        <v>14.5</v>
      </c>
      <c r="B192">
        <v>8</v>
      </c>
      <c r="C192">
        <v>351</v>
      </c>
      <c r="D192">
        <v>152</v>
      </c>
      <c r="E192">
        <v>4215</v>
      </c>
      <c r="F192">
        <v>12.8</v>
      </c>
      <c r="G192">
        <v>76</v>
      </c>
      <c r="H192" t="s">
        <v>9</v>
      </c>
      <c r="I192" t="s">
        <v>89</v>
      </c>
    </row>
    <row r="193" spans="1:9" x14ac:dyDescent="0.45">
      <c r="A193">
        <v>22</v>
      </c>
      <c r="B193">
        <v>6</v>
      </c>
      <c r="C193">
        <v>225</v>
      </c>
      <c r="D193">
        <v>100</v>
      </c>
      <c r="E193">
        <v>3233</v>
      </c>
      <c r="F193">
        <v>15.4</v>
      </c>
      <c r="G193">
        <v>76</v>
      </c>
      <c r="H193" t="s">
        <v>9</v>
      </c>
      <c r="I193" t="s">
        <v>98</v>
      </c>
    </row>
    <row r="194" spans="1:9" x14ac:dyDescent="0.45">
      <c r="A194">
        <v>22</v>
      </c>
      <c r="B194">
        <v>6</v>
      </c>
      <c r="C194">
        <v>250</v>
      </c>
      <c r="D194">
        <v>105</v>
      </c>
      <c r="E194">
        <v>3353</v>
      </c>
      <c r="F194">
        <v>14.5</v>
      </c>
      <c r="G194">
        <v>76</v>
      </c>
      <c r="H194" t="s">
        <v>9</v>
      </c>
      <c r="I194" t="s">
        <v>119</v>
      </c>
    </row>
    <row r="195" spans="1:9" x14ac:dyDescent="0.45">
      <c r="A195">
        <v>24</v>
      </c>
      <c r="B195">
        <v>6</v>
      </c>
      <c r="C195">
        <v>200</v>
      </c>
      <c r="D195">
        <v>81</v>
      </c>
      <c r="E195">
        <v>3012</v>
      </c>
      <c r="F195">
        <v>17.600000000000001</v>
      </c>
      <c r="G195">
        <v>76</v>
      </c>
      <c r="H195" t="s">
        <v>9</v>
      </c>
      <c r="I195" t="s">
        <v>28</v>
      </c>
    </row>
    <row r="196" spans="1:9" x14ac:dyDescent="0.45">
      <c r="A196">
        <v>22.5</v>
      </c>
      <c r="B196">
        <v>6</v>
      </c>
      <c r="C196">
        <v>232</v>
      </c>
      <c r="D196">
        <v>90</v>
      </c>
      <c r="E196">
        <v>3085</v>
      </c>
      <c r="F196">
        <v>17.600000000000001</v>
      </c>
      <c r="G196">
        <v>76</v>
      </c>
      <c r="H196" t="s">
        <v>9</v>
      </c>
      <c r="I196" t="s">
        <v>27</v>
      </c>
    </row>
    <row r="197" spans="1:9" x14ac:dyDescent="0.45">
      <c r="A197">
        <v>29</v>
      </c>
      <c r="B197">
        <v>4</v>
      </c>
      <c r="C197">
        <v>85</v>
      </c>
      <c r="D197">
        <v>52</v>
      </c>
      <c r="E197">
        <v>2035</v>
      </c>
      <c r="F197">
        <v>22.2</v>
      </c>
      <c r="G197">
        <v>76</v>
      </c>
      <c r="H197" t="s">
        <v>9</v>
      </c>
      <c r="I197" t="s">
        <v>153</v>
      </c>
    </row>
    <row r="198" spans="1:9" x14ac:dyDescent="0.45">
      <c r="A198">
        <v>24.5</v>
      </c>
      <c r="B198">
        <v>4</v>
      </c>
      <c r="C198">
        <v>98</v>
      </c>
      <c r="D198">
        <v>60</v>
      </c>
      <c r="E198">
        <v>2164</v>
      </c>
      <c r="F198">
        <v>22.1</v>
      </c>
      <c r="G198">
        <v>76</v>
      </c>
      <c r="H198" t="s">
        <v>9</v>
      </c>
      <c r="I198" t="s">
        <v>154</v>
      </c>
    </row>
    <row r="199" spans="1:9" x14ac:dyDescent="0.45">
      <c r="A199">
        <v>29</v>
      </c>
      <c r="B199">
        <v>4</v>
      </c>
      <c r="C199">
        <v>90</v>
      </c>
      <c r="D199">
        <v>70</v>
      </c>
      <c r="E199">
        <v>1937</v>
      </c>
      <c r="F199">
        <v>14.2</v>
      </c>
      <c r="G199">
        <v>76</v>
      </c>
      <c r="H199" t="s">
        <v>30</v>
      </c>
      <c r="I199" t="s">
        <v>155</v>
      </c>
    </row>
    <row r="200" spans="1:9" x14ac:dyDescent="0.45">
      <c r="A200">
        <v>33</v>
      </c>
      <c r="B200">
        <v>4</v>
      </c>
      <c r="C200">
        <v>91</v>
      </c>
      <c r="D200">
        <v>53</v>
      </c>
      <c r="E200">
        <v>1795</v>
      </c>
      <c r="F200">
        <v>17.399999999999999</v>
      </c>
      <c r="G200">
        <v>76</v>
      </c>
      <c r="H200" t="s">
        <v>24</v>
      </c>
      <c r="I200" t="s">
        <v>130</v>
      </c>
    </row>
    <row r="201" spans="1:9" x14ac:dyDescent="0.45">
      <c r="A201">
        <v>20</v>
      </c>
      <c r="B201">
        <v>6</v>
      </c>
      <c r="C201">
        <v>225</v>
      </c>
      <c r="D201">
        <v>100</v>
      </c>
      <c r="E201">
        <v>3651</v>
      </c>
      <c r="F201">
        <v>17.7</v>
      </c>
      <c r="G201">
        <v>76</v>
      </c>
      <c r="H201" t="s">
        <v>9</v>
      </c>
      <c r="I201" t="s">
        <v>156</v>
      </c>
    </row>
    <row r="202" spans="1:9" x14ac:dyDescent="0.45">
      <c r="A202">
        <v>18</v>
      </c>
      <c r="B202">
        <v>6</v>
      </c>
      <c r="C202">
        <v>250</v>
      </c>
      <c r="D202">
        <v>78</v>
      </c>
      <c r="E202">
        <v>3574</v>
      </c>
      <c r="F202">
        <v>21</v>
      </c>
      <c r="G202">
        <v>76</v>
      </c>
      <c r="H202" t="s">
        <v>9</v>
      </c>
      <c r="I202" t="s">
        <v>157</v>
      </c>
    </row>
    <row r="203" spans="1:9" x14ac:dyDescent="0.45">
      <c r="A203">
        <v>18.5</v>
      </c>
      <c r="B203">
        <v>6</v>
      </c>
      <c r="C203">
        <v>250</v>
      </c>
      <c r="D203">
        <v>110</v>
      </c>
      <c r="E203">
        <v>3645</v>
      </c>
      <c r="F203">
        <v>16.2</v>
      </c>
      <c r="G203">
        <v>76</v>
      </c>
      <c r="H203" t="s">
        <v>9</v>
      </c>
      <c r="I203" t="s">
        <v>158</v>
      </c>
    </row>
    <row r="204" spans="1:9" x14ac:dyDescent="0.45">
      <c r="A204">
        <v>17.5</v>
      </c>
      <c r="B204">
        <v>6</v>
      </c>
      <c r="C204">
        <v>258</v>
      </c>
      <c r="D204">
        <v>95</v>
      </c>
      <c r="E204">
        <v>3193</v>
      </c>
      <c r="F204">
        <v>17.8</v>
      </c>
      <c r="G204">
        <v>76</v>
      </c>
      <c r="H204" t="s">
        <v>9</v>
      </c>
      <c r="I204" t="s">
        <v>159</v>
      </c>
    </row>
    <row r="205" spans="1:9" x14ac:dyDescent="0.45">
      <c r="A205">
        <v>29.5</v>
      </c>
      <c r="B205">
        <v>4</v>
      </c>
      <c r="C205">
        <v>97</v>
      </c>
      <c r="D205">
        <v>71</v>
      </c>
      <c r="E205">
        <v>1825</v>
      </c>
      <c r="F205">
        <v>12.2</v>
      </c>
      <c r="G205">
        <v>76</v>
      </c>
      <c r="H205" t="s">
        <v>30</v>
      </c>
      <c r="I205" t="s">
        <v>145</v>
      </c>
    </row>
    <row r="206" spans="1:9" x14ac:dyDescent="0.45">
      <c r="A206">
        <v>32</v>
      </c>
      <c r="B206">
        <v>4</v>
      </c>
      <c r="C206">
        <v>85</v>
      </c>
      <c r="D206">
        <v>70</v>
      </c>
      <c r="E206">
        <v>1990</v>
      </c>
      <c r="F206">
        <v>17</v>
      </c>
      <c r="G206">
        <v>76</v>
      </c>
      <c r="H206" t="s">
        <v>24</v>
      </c>
      <c r="I206" t="s">
        <v>160</v>
      </c>
    </row>
    <row r="207" spans="1:9" x14ac:dyDescent="0.45">
      <c r="A207">
        <v>28</v>
      </c>
      <c r="B207">
        <v>4</v>
      </c>
      <c r="C207">
        <v>97</v>
      </c>
      <c r="D207">
        <v>75</v>
      </c>
      <c r="E207">
        <v>2155</v>
      </c>
      <c r="F207">
        <v>16.399999999999999</v>
      </c>
      <c r="G207">
        <v>76</v>
      </c>
      <c r="H207" t="s">
        <v>24</v>
      </c>
      <c r="I207" t="s">
        <v>143</v>
      </c>
    </row>
    <row r="208" spans="1:9" x14ac:dyDescent="0.45">
      <c r="A208">
        <v>26.5</v>
      </c>
      <c r="B208">
        <v>4</v>
      </c>
      <c r="C208">
        <v>140</v>
      </c>
      <c r="D208">
        <v>72</v>
      </c>
      <c r="E208">
        <v>2565</v>
      </c>
      <c r="F208">
        <v>13.6</v>
      </c>
      <c r="G208">
        <v>76</v>
      </c>
      <c r="H208" t="s">
        <v>9</v>
      </c>
      <c r="I208" t="s">
        <v>43</v>
      </c>
    </row>
    <row r="209" spans="1:9" x14ac:dyDescent="0.45">
      <c r="A209">
        <v>20</v>
      </c>
      <c r="B209">
        <v>4</v>
      </c>
      <c r="C209">
        <v>130</v>
      </c>
      <c r="D209">
        <v>102</v>
      </c>
      <c r="E209">
        <v>3150</v>
      </c>
      <c r="F209">
        <v>15.7</v>
      </c>
      <c r="G209">
        <v>76</v>
      </c>
      <c r="H209" t="s">
        <v>30</v>
      </c>
      <c r="I209" t="s">
        <v>161</v>
      </c>
    </row>
    <row r="210" spans="1:9" x14ac:dyDescent="0.45">
      <c r="A210">
        <v>13</v>
      </c>
      <c r="B210">
        <v>8</v>
      </c>
      <c r="C210">
        <v>318</v>
      </c>
      <c r="D210">
        <v>150</v>
      </c>
      <c r="E210">
        <v>3940</v>
      </c>
      <c r="F210">
        <v>13.2</v>
      </c>
      <c r="G210">
        <v>76</v>
      </c>
      <c r="H210" t="s">
        <v>9</v>
      </c>
      <c r="I210" t="s">
        <v>162</v>
      </c>
    </row>
    <row r="211" spans="1:9" x14ac:dyDescent="0.45">
      <c r="A211">
        <v>19</v>
      </c>
      <c r="B211">
        <v>4</v>
      </c>
      <c r="C211">
        <v>120</v>
      </c>
      <c r="D211">
        <v>88</v>
      </c>
      <c r="E211">
        <v>3270</v>
      </c>
      <c r="F211">
        <v>21.9</v>
      </c>
      <c r="G211">
        <v>76</v>
      </c>
      <c r="H211" t="s">
        <v>30</v>
      </c>
      <c r="I211" t="s">
        <v>32</v>
      </c>
    </row>
    <row r="212" spans="1:9" x14ac:dyDescent="0.45">
      <c r="A212">
        <v>19</v>
      </c>
      <c r="B212">
        <v>6</v>
      </c>
      <c r="C212">
        <v>156</v>
      </c>
      <c r="D212">
        <v>108</v>
      </c>
      <c r="E212">
        <v>2930</v>
      </c>
      <c r="F212">
        <v>15.5</v>
      </c>
      <c r="G212">
        <v>76</v>
      </c>
      <c r="H212" t="s">
        <v>24</v>
      </c>
      <c r="I212" t="s">
        <v>117</v>
      </c>
    </row>
    <row r="213" spans="1:9" x14ac:dyDescent="0.45">
      <c r="A213">
        <v>16.5</v>
      </c>
      <c r="B213">
        <v>6</v>
      </c>
      <c r="C213">
        <v>168</v>
      </c>
      <c r="D213">
        <v>120</v>
      </c>
      <c r="E213">
        <v>3820</v>
      </c>
      <c r="F213">
        <v>16.7</v>
      </c>
      <c r="G213">
        <v>76</v>
      </c>
      <c r="H213" t="s">
        <v>30</v>
      </c>
      <c r="I213" t="s">
        <v>163</v>
      </c>
    </row>
    <row r="214" spans="1:9" x14ac:dyDescent="0.45">
      <c r="A214">
        <v>16.5</v>
      </c>
      <c r="B214">
        <v>8</v>
      </c>
      <c r="C214">
        <v>350</v>
      </c>
      <c r="D214">
        <v>180</v>
      </c>
      <c r="E214">
        <v>4380</v>
      </c>
      <c r="F214">
        <v>12.1</v>
      </c>
      <c r="G214">
        <v>76</v>
      </c>
      <c r="H214" t="s">
        <v>9</v>
      </c>
      <c r="I214" t="s">
        <v>164</v>
      </c>
    </row>
    <row r="215" spans="1:9" x14ac:dyDescent="0.45">
      <c r="A215">
        <v>13</v>
      </c>
      <c r="B215">
        <v>8</v>
      </c>
      <c r="C215">
        <v>350</v>
      </c>
      <c r="D215">
        <v>145</v>
      </c>
      <c r="E215">
        <v>4055</v>
      </c>
      <c r="F215">
        <v>12</v>
      </c>
      <c r="G215">
        <v>76</v>
      </c>
      <c r="H215" t="s">
        <v>9</v>
      </c>
      <c r="I215" t="s">
        <v>165</v>
      </c>
    </row>
    <row r="216" spans="1:9" x14ac:dyDescent="0.45">
      <c r="A216">
        <v>13</v>
      </c>
      <c r="B216">
        <v>8</v>
      </c>
      <c r="C216">
        <v>302</v>
      </c>
      <c r="D216">
        <v>130</v>
      </c>
      <c r="E216">
        <v>3870</v>
      </c>
      <c r="F216">
        <v>15</v>
      </c>
      <c r="G216">
        <v>76</v>
      </c>
      <c r="H216" t="s">
        <v>9</v>
      </c>
      <c r="I216" t="s">
        <v>166</v>
      </c>
    </row>
    <row r="217" spans="1:9" x14ac:dyDescent="0.45">
      <c r="A217">
        <v>13</v>
      </c>
      <c r="B217">
        <v>8</v>
      </c>
      <c r="C217">
        <v>318</v>
      </c>
      <c r="D217">
        <v>150</v>
      </c>
      <c r="E217">
        <v>3755</v>
      </c>
      <c r="F217">
        <v>14</v>
      </c>
      <c r="G217">
        <v>76</v>
      </c>
      <c r="H217" t="s">
        <v>9</v>
      </c>
      <c r="I217" t="s">
        <v>167</v>
      </c>
    </row>
    <row r="218" spans="1:9" x14ac:dyDescent="0.45">
      <c r="A218">
        <v>31.5</v>
      </c>
      <c r="B218">
        <v>4</v>
      </c>
      <c r="C218">
        <v>98</v>
      </c>
      <c r="D218">
        <v>68</v>
      </c>
      <c r="E218">
        <v>2045</v>
      </c>
      <c r="F218">
        <v>18.5</v>
      </c>
      <c r="G218">
        <v>77</v>
      </c>
      <c r="H218" t="s">
        <v>24</v>
      </c>
      <c r="I218" t="s">
        <v>168</v>
      </c>
    </row>
    <row r="219" spans="1:9" x14ac:dyDescent="0.45">
      <c r="A219">
        <v>30</v>
      </c>
      <c r="B219">
        <v>4</v>
      </c>
      <c r="C219">
        <v>111</v>
      </c>
      <c r="D219">
        <v>80</v>
      </c>
      <c r="E219">
        <v>2155</v>
      </c>
      <c r="F219">
        <v>14.8</v>
      </c>
      <c r="G219">
        <v>77</v>
      </c>
      <c r="H219" t="s">
        <v>9</v>
      </c>
      <c r="I219" t="s">
        <v>169</v>
      </c>
    </row>
    <row r="220" spans="1:9" x14ac:dyDescent="0.45">
      <c r="A220">
        <v>36</v>
      </c>
      <c r="B220">
        <v>4</v>
      </c>
      <c r="C220">
        <v>79</v>
      </c>
      <c r="D220">
        <v>58</v>
      </c>
      <c r="E220">
        <v>1825</v>
      </c>
      <c r="F220">
        <v>18.600000000000001</v>
      </c>
      <c r="G220">
        <v>77</v>
      </c>
      <c r="H220" t="s">
        <v>30</v>
      </c>
      <c r="I220" t="s">
        <v>170</v>
      </c>
    </row>
    <row r="221" spans="1:9" x14ac:dyDescent="0.45">
      <c r="A221">
        <v>25.5</v>
      </c>
      <c r="B221">
        <v>4</v>
      </c>
      <c r="C221">
        <v>122</v>
      </c>
      <c r="D221">
        <v>96</v>
      </c>
      <c r="E221">
        <v>2300</v>
      </c>
      <c r="F221">
        <v>15.5</v>
      </c>
      <c r="G221">
        <v>77</v>
      </c>
      <c r="H221" t="s">
        <v>9</v>
      </c>
      <c r="I221" t="s">
        <v>171</v>
      </c>
    </row>
    <row r="222" spans="1:9" x14ac:dyDescent="0.45">
      <c r="A222">
        <v>33.5</v>
      </c>
      <c r="B222">
        <v>4</v>
      </c>
      <c r="C222">
        <v>85</v>
      </c>
      <c r="D222">
        <v>70</v>
      </c>
      <c r="E222">
        <v>1945</v>
      </c>
      <c r="F222">
        <v>16.8</v>
      </c>
      <c r="G222">
        <v>77</v>
      </c>
      <c r="H222" t="s">
        <v>24</v>
      </c>
      <c r="I222" t="s">
        <v>172</v>
      </c>
    </row>
    <row r="223" spans="1:9" x14ac:dyDescent="0.45">
      <c r="A223">
        <v>17.5</v>
      </c>
      <c r="B223">
        <v>8</v>
      </c>
      <c r="C223">
        <v>305</v>
      </c>
      <c r="D223">
        <v>145</v>
      </c>
      <c r="E223">
        <v>3880</v>
      </c>
      <c r="F223">
        <v>12.5</v>
      </c>
      <c r="G223">
        <v>77</v>
      </c>
      <c r="H223" t="s">
        <v>9</v>
      </c>
      <c r="I223" t="s">
        <v>92</v>
      </c>
    </row>
    <row r="224" spans="1:9" x14ac:dyDescent="0.45">
      <c r="A224">
        <v>17</v>
      </c>
      <c r="B224">
        <v>8</v>
      </c>
      <c r="C224">
        <v>260</v>
      </c>
      <c r="D224">
        <v>110</v>
      </c>
      <c r="E224">
        <v>4060</v>
      </c>
      <c r="F224">
        <v>19</v>
      </c>
      <c r="G224">
        <v>77</v>
      </c>
      <c r="H224" t="s">
        <v>9</v>
      </c>
      <c r="I224" t="s">
        <v>173</v>
      </c>
    </row>
    <row r="225" spans="1:9" x14ac:dyDescent="0.45">
      <c r="A225">
        <v>15.5</v>
      </c>
      <c r="B225">
        <v>8</v>
      </c>
      <c r="C225">
        <v>318</v>
      </c>
      <c r="D225">
        <v>145</v>
      </c>
      <c r="E225">
        <v>4140</v>
      </c>
      <c r="F225">
        <v>13.7</v>
      </c>
      <c r="G225">
        <v>77</v>
      </c>
      <c r="H225" t="s">
        <v>9</v>
      </c>
      <c r="I225" t="s">
        <v>174</v>
      </c>
    </row>
    <row r="226" spans="1:9" x14ac:dyDescent="0.45">
      <c r="A226">
        <v>15</v>
      </c>
      <c r="B226">
        <v>8</v>
      </c>
      <c r="C226">
        <v>302</v>
      </c>
      <c r="D226">
        <v>130</v>
      </c>
      <c r="E226">
        <v>4295</v>
      </c>
      <c r="F226">
        <v>14.9</v>
      </c>
      <c r="G226">
        <v>77</v>
      </c>
      <c r="H226" t="s">
        <v>9</v>
      </c>
      <c r="I226" t="s">
        <v>175</v>
      </c>
    </row>
    <row r="227" spans="1:9" x14ac:dyDescent="0.45">
      <c r="A227">
        <v>17.5</v>
      </c>
      <c r="B227">
        <v>6</v>
      </c>
      <c r="C227">
        <v>250</v>
      </c>
      <c r="D227">
        <v>110</v>
      </c>
      <c r="E227">
        <v>3520</v>
      </c>
      <c r="F227">
        <v>16.399999999999999</v>
      </c>
      <c r="G227">
        <v>77</v>
      </c>
      <c r="H227" t="s">
        <v>9</v>
      </c>
      <c r="I227" t="s">
        <v>176</v>
      </c>
    </row>
    <row r="228" spans="1:9" x14ac:dyDescent="0.45">
      <c r="A228">
        <v>20.5</v>
      </c>
      <c r="B228">
        <v>6</v>
      </c>
      <c r="C228">
        <v>231</v>
      </c>
      <c r="D228">
        <v>105</v>
      </c>
      <c r="E228">
        <v>3425</v>
      </c>
      <c r="F228">
        <v>16.899999999999999</v>
      </c>
      <c r="G228">
        <v>77</v>
      </c>
      <c r="H228" t="s">
        <v>9</v>
      </c>
      <c r="I228" t="s">
        <v>177</v>
      </c>
    </row>
    <row r="229" spans="1:9" x14ac:dyDescent="0.45">
      <c r="A229">
        <v>19</v>
      </c>
      <c r="B229">
        <v>6</v>
      </c>
      <c r="C229">
        <v>225</v>
      </c>
      <c r="D229">
        <v>100</v>
      </c>
      <c r="E229">
        <v>3630</v>
      </c>
      <c r="F229">
        <v>17.7</v>
      </c>
      <c r="G229">
        <v>77</v>
      </c>
      <c r="H229" t="s">
        <v>9</v>
      </c>
      <c r="I229" t="s">
        <v>178</v>
      </c>
    </row>
    <row r="230" spans="1:9" x14ac:dyDescent="0.45">
      <c r="A230">
        <v>18.5</v>
      </c>
      <c r="B230">
        <v>6</v>
      </c>
      <c r="C230">
        <v>250</v>
      </c>
      <c r="D230">
        <v>98</v>
      </c>
      <c r="E230">
        <v>3525</v>
      </c>
      <c r="F230">
        <v>19</v>
      </c>
      <c r="G230">
        <v>77</v>
      </c>
      <c r="H230" t="s">
        <v>9</v>
      </c>
      <c r="I230" t="s">
        <v>179</v>
      </c>
    </row>
    <row r="231" spans="1:9" x14ac:dyDescent="0.45">
      <c r="A231">
        <v>16</v>
      </c>
      <c r="B231">
        <v>8</v>
      </c>
      <c r="C231">
        <v>400</v>
      </c>
      <c r="D231">
        <v>180</v>
      </c>
      <c r="E231">
        <v>4220</v>
      </c>
      <c r="F231">
        <v>11.1</v>
      </c>
      <c r="G231">
        <v>77</v>
      </c>
      <c r="H231" t="s">
        <v>9</v>
      </c>
      <c r="I231" t="s">
        <v>180</v>
      </c>
    </row>
    <row r="232" spans="1:9" x14ac:dyDescent="0.45">
      <c r="A232">
        <v>15.5</v>
      </c>
      <c r="B232">
        <v>8</v>
      </c>
      <c r="C232">
        <v>350</v>
      </c>
      <c r="D232">
        <v>170</v>
      </c>
      <c r="E232">
        <v>4165</v>
      </c>
      <c r="F232">
        <v>11.4</v>
      </c>
      <c r="G232">
        <v>77</v>
      </c>
      <c r="H232" t="s">
        <v>9</v>
      </c>
      <c r="I232" t="s">
        <v>181</v>
      </c>
    </row>
    <row r="233" spans="1:9" x14ac:dyDescent="0.45">
      <c r="A233">
        <v>15.5</v>
      </c>
      <c r="B233">
        <v>8</v>
      </c>
      <c r="C233">
        <v>400</v>
      </c>
      <c r="D233">
        <v>190</v>
      </c>
      <c r="E233">
        <v>4325</v>
      </c>
      <c r="F233">
        <v>12.2</v>
      </c>
      <c r="G233">
        <v>77</v>
      </c>
      <c r="H233" t="s">
        <v>9</v>
      </c>
      <c r="I233" t="s">
        <v>182</v>
      </c>
    </row>
    <row r="234" spans="1:9" x14ac:dyDescent="0.45">
      <c r="A234">
        <v>16</v>
      </c>
      <c r="B234">
        <v>8</v>
      </c>
      <c r="C234">
        <v>351</v>
      </c>
      <c r="D234">
        <v>149</v>
      </c>
      <c r="E234">
        <v>4335</v>
      </c>
      <c r="F234">
        <v>14.5</v>
      </c>
      <c r="G234">
        <v>77</v>
      </c>
      <c r="H234" t="s">
        <v>9</v>
      </c>
      <c r="I234" t="s">
        <v>183</v>
      </c>
    </row>
    <row r="235" spans="1:9" x14ac:dyDescent="0.45">
      <c r="A235">
        <v>29</v>
      </c>
      <c r="B235">
        <v>4</v>
      </c>
      <c r="C235">
        <v>97</v>
      </c>
      <c r="D235">
        <v>78</v>
      </c>
      <c r="E235">
        <v>1940</v>
      </c>
      <c r="F235">
        <v>14.5</v>
      </c>
      <c r="G235">
        <v>77</v>
      </c>
      <c r="H235" t="s">
        <v>30</v>
      </c>
      <c r="I235" t="s">
        <v>184</v>
      </c>
    </row>
    <row r="236" spans="1:9" x14ac:dyDescent="0.45">
      <c r="A236">
        <v>24.5</v>
      </c>
      <c r="B236">
        <v>4</v>
      </c>
      <c r="C236">
        <v>151</v>
      </c>
      <c r="D236">
        <v>88</v>
      </c>
      <c r="E236">
        <v>2740</v>
      </c>
      <c r="F236">
        <v>16</v>
      </c>
      <c r="G236">
        <v>77</v>
      </c>
      <c r="H236" t="s">
        <v>9</v>
      </c>
      <c r="I236" t="s">
        <v>185</v>
      </c>
    </row>
    <row r="237" spans="1:9" x14ac:dyDescent="0.45">
      <c r="A237">
        <v>26</v>
      </c>
      <c r="B237">
        <v>4</v>
      </c>
      <c r="C237">
        <v>97</v>
      </c>
      <c r="D237">
        <v>75</v>
      </c>
      <c r="E237">
        <v>2265</v>
      </c>
      <c r="F237">
        <v>18.2</v>
      </c>
      <c r="G237">
        <v>77</v>
      </c>
      <c r="H237" t="s">
        <v>24</v>
      </c>
      <c r="I237" t="s">
        <v>186</v>
      </c>
    </row>
    <row r="238" spans="1:9" x14ac:dyDescent="0.45">
      <c r="A238">
        <v>25.5</v>
      </c>
      <c r="B238">
        <v>4</v>
      </c>
      <c r="C238">
        <v>140</v>
      </c>
      <c r="D238">
        <v>89</v>
      </c>
      <c r="E238">
        <v>2755</v>
      </c>
      <c r="F238">
        <v>15.8</v>
      </c>
      <c r="G238">
        <v>77</v>
      </c>
      <c r="H238" t="s">
        <v>9</v>
      </c>
      <c r="I238" t="s">
        <v>187</v>
      </c>
    </row>
    <row r="239" spans="1:9" x14ac:dyDescent="0.45">
      <c r="A239">
        <v>30.5</v>
      </c>
      <c r="B239">
        <v>4</v>
      </c>
      <c r="C239">
        <v>98</v>
      </c>
      <c r="D239">
        <v>63</v>
      </c>
      <c r="E239">
        <v>2051</v>
      </c>
      <c r="F239">
        <v>17</v>
      </c>
      <c r="G239">
        <v>77</v>
      </c>
      <c r="H239" t="s">
        <v>9</v>
      </c>
      <c r="I239" t="s">
        <v>153</v>
      </c>
    </row>
    <row r="240" spans="1:9" x14ac:dyDescent="0.45">
      <c r="A240">
        <v>33.5</v>
      </c>
      <c r="B240">
        <v>4</v>
      </c>
      <c r="C240">
        <v>98</v>
      </c>
      <c r="D240">
        <v>83</v>
      </c>
      <c r="E240">
        <v>2075</v>
      </c>
      <c r="F240">
        <v>15.9</v>
      </c>
      <c r="G240">
        <v>77</v>
      </c>
      <c r="H240" t="s">
        <v>9</v>
      </c>
      <c r="I240" t="s">
        <v>188</v>
      </c>
    </row>
    <row r="241" spans="1:9" x14ac:dyDescent="0.45">
      <c r="A241">
        <v>30</v>
      </c>
      <c r="B241">
        <v>4</v>
      </c>
      <c r="C241">
        <v>97</v>
      </c>
      <c r="D241">
        <v>67</v>
      </c>
      <c r="E241">
        <v>1985</v>
      </c>
      <c r="F241">
        <v>16.399999999999999</v>
      </c>
      <c r="G241">
        <v>77</v>
      </c>
      <c r="H241" t="s">
        <v>24</v>
      </c>
      <c r="I241" t="s">
        <v>189</v>
      </c>
    </row>
    <row r="242" spans="1:9" x14ac:dyDescent="0.45">
      <c r="A242">
        <v>30.5</v>
      </c>
      <c r="B242">
        <v>4</v>
      </c>
      <c r="C242">
        <v>97</v>
      </c>
      <c r="D242">
        <v>78</v>
      </c>
      <c r="E242">
        <v>2190</v>
      </c>
      <c r="F242">
        <v>14.1</v>
      </c>
      <c r="G242">
        <v>77</v>
      </c>
      <c r="H242" t="s">
        <v>30</v>
      </c>
      <c r="I242" t="s">
        <v>126</v>
      </c>
    </row>
    <row r="243" spans="1:9" x14ac:dyDescent="0.45">
      <c r="A243">
        <v>22</v>
      </c>
      <c r="B243">
        <v>6</v>
      </c>
      <c r="C243">
        <v>146</v>
      </c>
      <c r="D243">
        <v>97</v>
      </c>
      <c r="E243">
        <v>2815</v>
      </c>
      <c r="F243">
        <v>14.5</v>
      </c>
      <c r="G243">
        <v>77</v>
      </c>
      <c r="H243" t="s">
        <v>24</v>
      </c>
      <c r="I243" t="s">
        <v>190</v>
      </c>
    </row>
    <row r="244" spans="1:9" x14ac:dyDescent="0.45">
      <c r="A244">
        <v>21.5</v>
      </c>
      <c r="B244">
        <v>4</v>
      </c>
      <c r="C244">
        <v>121</v>
      </c>
      <c r="D244">
        <v>110</v>
      </c>
      <c r="E244">
        <v>2600</v>
      </c>
      <c r="F244">
        <v>12.8</v>
      </c>
      <c r="G244">
        <v>77</v>
      </c>
      <c r="H244" t="s">
        <v>30</v>
      </c>
      <c r="I244" t="s">
        <v>191</v>
      </c>
    </row>
    <row r="245" spans="1:9" x14ac:dyDescent="0.45">
      <c r="A245">
        <v>21.5</v>
      </c>
      <c r="B245">
        <v>3</v>
      </c>
      <c r="C245">
        <v>80</v>
      </c>
      <c r="D245">
        <v>110</v>
      </c>
      <c r="E245">
        <v>2720</v>
      </c>
      <c r="F245">
        <v>13.5</v>
      </c>
      <c r="G245">
        <v>77</v>
      </c>
      <c r="H245" t="s">
        <v>24</v>
      </c>
      <c r="I245" t="s">
        <v>192</v>
      </c>
    </row>
    <row r="246" spans="1:9" x14ac:dyDescent="0.45">
      <c r="A246">
        <v>43.1</v>
      </c>
      <c r="B246">
        <v>4</v>
      </c>
      <c r="C246">
        <v>90</v>
      </c>
      <c r="D246">
        <v>48</v>
      </c>
      <c r="E246">
        <v>1985</v>
      </c>
      <c r="F246">
        <v>21.5</v>
      </c>
      <c r="G246">
        <v>78</v>
      </c>
      <c r="H246" t="s">
        <v>30</v>
      </c>
      <c r="I246" t="s">
        <v>193</v>
      </c>
    </row>
    <row r="247" spans="1:9" x14ac:dyDescent="0.45">
      <c r="A247">
        <v>36.1</v>
      </c>
      <c r="B247">
        <v>4</v>
      </c>
      <c r="C247">
        <v>98</v>
      </c>
      <c r="D247">
        <v>66</v>
      </c>
      <c r="E247">
        <v>1800</v>
      </c>
      <c r="F247">
        <v>14.4</v>
      </c>
      <c r="G247">
        <v>78</v>
      </c>
      <c r="H247" t="s">
        <v>9</v>
      </c>
      <c r="I247" t="s">
        <v>194</v>
      </c>
    </row>
    <row r="248" spans="1:9" x14ac:dyDescent="0.45">
      <c r="A248">
        <v>32.799999999999997</v>
      </c>
      <c r="B248">
        <v>4</v>
      </c>
      <c r="C248">
        <v>78</v>
      </c>
      <c r="D248">
        <v>52</v>
      </c>
      <c r="E248">
        <v>1985</v>
      </c>
      <c r="F248">
        <v>19.399999999999999</v>
      </c>
      <c r="G248">
        <v>78</v>
      </c>
      <c r="H248" t="s">
        <v>24</v>
      </c>
      <c r="I248" t="s">
        <v>195</v>
      </c>
    </row>
    <row r="249" spans="1:9" x14ac:dyDescent="0.45">
      <c r="A249">
        <v>39.4</v>
      </c>
      <c r="B249">
        <v>4</v>
      </c>
      <c r="C249">
        <v>85</v>
      </c>
      <c r="D249">
        <v>70</v>
      </c>
      <c r="E249">
        <v>2070</v>
      </c>
      <c r="F249">
        <v>18.600000000000001</v>
      </c>
      <c r="G249">
        <v>78</v>
      </c>
      <c r="H249" t="s">
        <v>24</v>
      </c>
      <c r="I249" t="s">
        <v>196</v>
      </c>
    </row>
    <row r="250" spans="1:9" x14ac:dyDescent="0.45">
      <c r="A250">
        <v>36.1</v>
      </c>
      <c r="B250">
        <v>4</v>
      </c>
      <c r="C250">
        <v>91</v>
      </c>
      <c r="D250">
        <v>60</v>
      </c>
      <c r="E250">
        <v>1800</v>
      </c>
      <c r="F250">
        <v>16.399999999999999</v>
      </c>
      <c r="G250">
        <v>78</v>
      </c>
      <c r="H250" t="s">
        <v>24</v>
      </c>
      <c r="I250" t="s">
        <v>148</v>
      </c>
    </row>
    <row r="251" spans="1:9" x14ac:dyDescent="0.45">
      <c r="A251">
        <v>19.899999999999999</v>
      </c>
      <c r="B251">
        <v>8</v>
      </c>
      <c r="C251">
        <v>260</v>
      </c>
      <c r="D251">
        <v>110</v>
      </c>
      <c r="E251">
        <v>3365</v>
      </c>
      <c r="F251">
        <v>15.5</v>
      </c>
      <c r="G251">
        <v>78</v>
      </c>
      <c r="H251" t="s">
        <v>9</v>
      </c>
      <c r="I251" t="s">
        <v>197</v>
      </c>
    </row>
    <row r="252" spans="1:9" x14ac:dyDescent="0.45">
      <c r="A252">
        <v>19.399999999999999</v>
      </c>
      <c r="B252">
        <v>8</v>
      </c>
      <c r="C252">
        <v>318</v>
      </c>
      <c r="D252">
        <v>140</v>
      </c>
      <c r="E252">
        <v>3735</v>
      </c>
      <c r="F252">
        <v>13.2</v>
      </c>
      <c r="G252">
        <v>78</v>
      </c>
      <c r="H252" t="s">
        <v>9</v>
      </c>
      <c r="I252" t="s">
        <v>198</v>
      </c>
    </row>
    <row r="253" spans="1:9" x14ac:dyDescent="0.45">
      <c r="A253">
        <v>20.2</v>
      </c>
      <c r="B253">
        <v>8</v>
      </c>
      <c r="C253">
        <v>302</v>
      </c>
      <c r="D253">
        <v>139</v>
      </c>
      <c r="E253">
        <v>3570</v>
      </c>
      <c r="F253">
        <v>12.8</v>
      </c>
      <c r="G253">
        <v>78</v>
      </c>
      <c r="H253" t="s">
        <v>9</v>
      </c>
      <c r="I253" t="s">
        <v>199</v>
      </c>
    </row>
    <row r="254" spans="1:9" x14ac:dyDescent="0.45">
      <c r="A254">
        <v>19.2</v>
      </c>
      <c r="B254">
        <v>6</v>
      </c>
      <c r="C254">
        <v>231</v>
      </c>
      <c r="D254">
        <v>105</v>
      </c>
      <c r="E254">
        <v>3535</v>
      </c>
      <c r="F254">
        <v>19.2</v>
      </c>
      <c r="G254">
        <v>78</v>
      </c>
      <c r="H254" t="s">
        <v>9</v>
      </c>
      <c r="I254" t="s">
        <v>200</v>
      </c>
    </row>
    <row r="255" spans="1:9" x14ac:dyDescent="0.45">
      <c r="A255">
        <v>20.5</v>
      </c>
      <c r="B255">
        <v>6</v>
      </c>
      <c r="C255">
        <v>200</v>
      </c>
      <c r="D255">
        <v>95</v>
      </c>
      <c r="E255">
        <v>3155</v>
      </c>
      <c r="F255">
        <v>18.2</v>
      </c>
      <c r="G255">
        <v>78</v>
      </c>
      <c r="H255" t="s">
        <v>9</v>
      </c>
      <c r="I255" t="s">
        <v>88</v>
      </c>
    </row>
    <row r="256" spans="1:9" x14ac:dyDescent="0.45">
      <c r="A256">
        <v>20.2</v>
      </c>
      <c r="B256">
        <v>6</v>
      </c>
      <c r="C256">
        <v>200</v>
      </c>
      <c r="D256">
        <v>85</v>
      </c>
      <c r="E256">
        <v>2965</v>
      </c>
      <c r="F256">
        <v>15.8</v>
      </c>
      <c r="G256">
        <v>78</v>
      </c>
      <c r="H256" t="s">
        <v>9</v>
      </c>
      <c r="I256" t="s">
        <v>201</v>
      </c>
    </row>
    <row r="257" spans="1:9" x14ac:dyDescent="0.45">
      <c r="A257">
        <v>25.1</v>
      </c>
      <c r="B257">
        <v>4</v>
      </c>
      <c r="C257">
        <v>140</v>
      </c>
      <c r="D257">
        <v>88</v>
      </c>
      <c r="E257">
        <v>2720</v>
      </c>
      <c r="F257">
        <v>15.4</v>
      </c>
      <c r="G257">
        <v>78</v>
      </c>
      <c r="H257" t="s">
        <v>9</v>
      </c>
      <c r="I257" t="s">
        <v>202</v>
      </c>
    </row>
    <row r="258" spans="1:9" x14ac:dyDescent="0.45">
      <c r="A258">
        <v>20.5</v>
      </c>
      <c r="B258">
        <v>6</v>
      </c>
      <c r="C258">
        <v>225</v>
      </c>
      <c r="D258">
        <v>100</v>
      </c>
      <c r="E258">
        <v>3430</v>
      </c>
      <c r="F258">
        <v>17.2</v>
      </c>
      <c r="G258">
        <v>78</v>
      </c>
      <c r="H258" t="s">
        <v>9</v>
      </c>
      <c r="I258" t="s">
        <v>203</v>
      </c>
    </row>
    <row r="259" spans="1:9" x14ac:dyDescent="0.45">
      <c r="A259">
        <v>19.399999999999999</v>
      </c>
      <c r="B259">
        <v>6</v>
      </c>
      <c r="C259">
        <v>232</v>
      </c>
      <c r="D259">
        <v>90</v>
      </c>
      <c r="E259">
        <v>3210</v>
      </c>
      <c r="F259">
        <v>17.2</v>
      </c>
      <c r="G259">
        <v>78</v>
      </c>
      <c r="H259" t="s">
        <v>9</v>
      </c>
      <c r="I259" t="s">
        <v>204</v>
      </c>
    </row>
    <row r="260" spans="1:9" x14ac:dyDescent="0.45">
      <c r="A260">
        <v>20.6</v>
      </c>
      <c r="B260">
        <v>6</v>
      </c>
      <c r="C260">
        <v>231</v>
      </c>
      <c r="D260">
        <v>105</v>
      </c>
      <c r="E260">
        <v>3380</v>
      </c>
      <c r="F260">
        <v>15.8</v>
      </c>
      <c r="G260">
        <v>78</v>
      </c>
      <c r="H260" t="s">
        <v>9</v>
      </c>
      <c r="I260" t="s">
        <v>205</v>
      </c>
    </row>
    <row r="261" spans="1:9" x14ac:dyDescent="0.45">
      <c r="A261">
        <v>20.8</v>
      </c>
      <c r="B261">
        <v>6</v>
      </c>
      <c r="C261">
        <v>200</v>
      </c>
      <c r="D261">
        <v>85</v>
      </c>
      <c r="E261">
        <v>3070</v>
      </c>
      <c r="F261">
        <v>16.7</v>
      </c>
      <c r="G261">
        <v>78</v>
      </c>
      <c r="H261" t="s">
        <v>9</v>
      </c>
      <c r="I261" t="s">
        <v>206</v>
      </c>
    </row>
    <row r="262" spans="1:9" x14ac:dyDescent="0.45">
      <c r="A262">
        <v>18.600000000000001</v>
      </c>
      <c r="B262">
        <v>6</v>
      </c>
      <c r="C262">
        <v>225</v>
      </c>
      <c r="D262">
        <v>110</v>
      </c>
      <c r="E262">
        <v>3620</v>
      </c>
      <c r="F262">
        <v>18.7</v>
      </c>
      <c r="G262">
        <v>78</v>
      </c>
      <c r="H262" t="s">
        <v>9</v>
      </c>
      <c r="I262" t="s">
        <v>207</v>
      </c>
    </row>
    <row r="263" spans="1:9" x14ac:dyDescent="0.45">
      <c r="A263">
        <v>18.100000000000001</v>
      </c>
      <c r="B263">
        <v>6</v>
      </c>
      <c r="C263">
        <v>258</v>
      </c>
      <c r="D263">
        <v>120</v>
      </c>
      <c r="E263">
        <v>3410</v>
      </c>
      <c r="F263">
        <v>15.1</v>
      </c>
      <c r="G263">
        <v>78</v>
      </c>
      <c r="H263" t="s">
        <v>9</v>
      </c>
      <c r="I263" t="s">
        <v>208</v>
      </c>
    </row>
    <row r="264" spans="1:9" x14ac:dyDescent="0.45">
      <c r="A264">
        <v>19.2</v>
      </c>
      <c r="B264">
        <v>8</v>
      </c>
      <c r="C264">
        <v>305</v>
      </c>
      <c r="D264">
        <v>145</v>
      </c>
      <c r="E264">
        <v>3425</v>
      </c>
      <c r="F264">
        <v>13.2</v>
      </c>
      <c r="G264">
        <v>78</v>
      </c>
      <c r="H264" t="s">
        <v>9</v>
      </c>
      <c r="I264" t="s">
        <v>181</v>
      </c>
    </row>
    <row r="265" spans="1:9" x14ac:dyDescent="0.45">
      <c r="A265">
        <v>17.7</v>
      </c>
      <c r="B265">
        <v>6</v>
      </c>
      <c r="C265">
        <v>231</v>
      </c>
      <c r="D265">
        <v>165</v>
      </c>
      <c r="E265">
        <v>3445</v>
      </c>
      <c r="F265">
        <v>13.4</v>
      </c>
      <c r="G265">
        <v>78</v>
      </c>
      <c r="H265" t="s">
        <v>9</v>
      </c>
      <c r="I265" t="s">
        <v>209</v>
      </c>
    </row>
    <row r="266" spans="1:9" x14ac:dyDescent="0.45">
      <c r="A266">
        <v>18.100000000000001</v>
      </c>
      <c r="B266">
        <v>8</v>
      </c>
      <c r="C266">
        <v>302</v>
      </c>
      <c r="D266">
        <v>139</v>
      </c>
      <c r="E266">
        <v>3205</v>
      </c>
      <c r="F266">
        <v>11.2</v>
      </c>
      <c r="G266">
        <v>78</v>
      </c>
      <c r="H266" t="s">
        <v>9</v>
      </c>
      <c r="I266" t="s">
        <v>210</v>
      </c>
    </row>
    <row r="267" spans="1:9" x14ac:dyDescent="0.45">
      <c r="A267">
        <v>17.5</v>
      </c>
      <c r="B267">
        <v>8</v>
      </c>
      <c r="C267">
        <v>318</v>
      </c>
      <c r="D267">
        <v>140</v>
      </c>
      <c r="E267">
        <v>4080</v>
      </c>
      <c r="F267">
        <v>13.7</v>
      </c>
      <c r="G267">
        <v>78</v>
      </c>
      <c r="H267" t="s">
        <v>9</v>
      </c>
      <c r="I267" t="s">
        <v>211</v>
      </c>
    </row>
    <row r="268" spans="1:9" x14ac:dyDescent="0.45">
      <c r="A268">
        <v>30</v>
      </c>
      <c r="B268">
        <v>4</v>
      </c>
      <c r="C268">
        <v>98</v>
      </c>
      <c r="D268">
        <v>68</v>
      </c>
      <c r="E268">
        <v>2155</v>
      </c>
      <c r="F268">
        <v>16.5</v>
      </c>
      <c r="G268">
        <v>78</v>
      </c>
      <c r="H268" t="s">
        <v>9</v>
      </c>
      <c r="I268" t="s">
        <v>153</v>
      </c>
    </row>
    <row r="269" spans="1:9" x14ac:dyDescent="0.45">
      <c r="A269">
        <v>27.5</v>
      </c>
      <c r="B269">
        <v>4</v>
      </c>
      <c r="C269">
        <v>134</v>
      </c>
      <c r="D269">
        <v>95</v>
      </c>
      <c r="E269">
        <v>2560</v>
      </c>
      <c r="F269">
        <v>14.2</v>
      </c>
      <c r="G269">
        <v>78</v>
      </c>
      <c r="H269" t="s">
        <v>24</v>
      </c>
      <c r="I269" t="s">
        <v>42</v>
      </c>
    </row>
    <row r="270" spans="1:9" x14ac:dyDescent="0.45">
      <c r="A270">
        <v>27.2</v>
      </c>
      <c r="B270">
        <v>4</v>
      </c>
      <c r="C270">
        <v>119</v>
      </c>
      <c r="D270">
        <v>97</v>
      </c>
      <c r="E270">
        <v>2300</v>
      </c>
      <c r="F270">
        <v>14.7</v>
      </c>
      <c r="G270">
        <v>78</v>
      </c>
      <c r="H270" t="s">
        <v>24</v>
      </c>
      <c r="I270" t="s">
        <v>212</v>
      </c>
    </row>
    <row r="271" spans="1:9" x14ac:dyDescent="0.45">
      <c r="A271">
        <v>30.9</v>
      </c>
      <c r="B271">
        <v>4</v>
      </c>
      <c r="C271">
        <v>105</v>
      </c>
      <c r="D271">
        <v>75</v>
      </c>
      <c r="E271">
        <v>2230</v>
      </c>
      <c r="F271">
        <v>14.5</v>
      </c>
      <c r="G271">
        <v>78</v>
      </c>
      <c r="H271" t="s">
        <v>9</v>
      </c>
      <c r="I271" t="s">
        <v>213</v>
      </c>
    </row>
    <row r="272" spans="1:9" x14ac:dyDescent="0.45">
      <c r="A272">
        <v>21.1</v>
      </c>
      <c r="B272">
        <v>4</v>
      </c>
      <c r="C272">
        <v>134</v>
      </c>
      <c r="D272">
        <v>95</v>
      </c>
      <c r="E272">
        <v>2515</v>
      </c>
      <c r="F272">
        <v>14.8</v>
      </c>
      <c r="G272">
        <v>78</v>
      </c>
      <c r="H272" t="s">
        <v>24</v>
      </c>
      <c r="I272" t="s">
        <v>214</v>
      </c>
    </row>
    <row r="273" spans="1:9" x14ac:dyDescent="0.45">
      <c r="A273">
        <v>23.2</v>
      </c>
      <c r="B273">
        <v>4</v>
      </c>
      <c r="C273">
        <v>156</v>
      </c>
      <c r="D273">
        <v>105</v>
      </c>
      <c r="E273">
        <v>2745</v>
      </c>
      <c r="F273">
        <v>16.7</v>
      </c>
      <c r="G273">
        <v>78</v>
      </c>
      <c r="H273" t="s">
        <v>9</v>
      </c>
      <c r="I273" t="s">
        <v>215</v>
      </c>
    </row>
    <row r="274" spans="1:9" x14ac:dyDescent="0.45">
      <c r="A274">
        <v>23.8</v>
      </c>
      <c r="B274">
        <v>4</v>
      </c>
      <c r="C274">
        <v>151</v>
      </c>
      <c r="D274">
        <v>85</v>
      </c>
      <c r="E274">
        <v>2855</v>
      </c>
      <c r="F274">
        <v>17.600000000000001</v>
      </c>
      <c r="G274">
        <v>78</v>
      </c>
      <c r="H274" t="s">
        <v>9</v>
      </c>
      <c r="I274" t="s">
        <v>216</v>
      </c>
    </row>
    <row r="275" spans="1:9" x14ac:dyDescent="0.45">
      <c r="A275">
        <v>23.9</v>
      </c>
      <c r="B275">
        <v>4</v>
      </c>
      <c r="C275">
        <v>119</v>
      </c>
      <c r="D275">
        <v>97</v>
      </c>
      <c r="E275">
        <v>2405</v>
      </c>
      <c r="F275">
        <v>14.9</v>
      </c>
      <c r="G275">
        <v>78</v>
      </c>
      <c r="H275" t="s">
        <v>24</v>
      </c>
      <c r="I275" t="s">
        <v>217</v>
      </c>
    </row>
    <row r="276" spans="1:9" x14ac:dyDescent="0.45">
      <c r="A276">
        <v>20.3</v>
      </c>
      <c r="B276">
        <v>5</v>
      </c>
      <c r="C276">
        <v>131</v>
      </c>
      <c r="D276">
        <v>103</v>
      </c>
      <c r="E276">
        <v>2830</v>
      </c>
      <c r="F276">
        <v>15.9</v>
      </c>
      <c r="G276">
        <v>78</v>
      </c>
      <c r="H276" t="s">
        <v>30</v>
      </c>
      <c r="I276" t="s">
        <v>218</v>
      </c>
    </row>
    <row r="277" spans="1:9" x14ac:dyDescent="0.45">
      <c r="A277">
        <v>17</v>
      </c>
      <c r="B277">
        <v>6</v>
      </c>
      <c r="C277">
        <v>163</v>
      </c>
      <c r="D277">
        <v>125</v>
      </c>
      <c r="E277">
        <v>3140</v>
      </c>
      <c r="F277">
        <v>13.6</v>
      </c>
      <c r="G277">
        <v>78</v>
      </c>
      <c r="H277" t="s">
        <v>30</v>
      </c>
      <c r="I277" t="s">
        <v>219</v>
      </c>
    </row>
    <row r="278" spans="1:9" x14ac:dyDescent="0.45">
      <c r="A278">
        <v>21.6</v>
      </c>
      <c r="B278">
        <v>4</v>
      </c>
      <c r="C278">
        <v>121</v>
      </c>
      <c r="D278">
        <v>115</v>
      </c>
      <c r="E278">
        <v>2795</v>
      </c>
      <c r="F278">
        <v>15.7</v>
      </c>
      <c r="G278">
        <v>78</v>
      </c>
      <c r="H278" t="s">
        <v>30</v>
      </c>
      <c r="I278" t="s">
        <v>220</v>
      </c>
    </row>
    <row r="279" spans="1:9" x14ac:dyDescent="0.45">
      <c r="A279">
        <v>16.2</v>
      </c>
      <c r="B279">
        <v>6</v>
      </c>
      <c r="C279">
        <v>163</v>
      </c>
      <c r="D279">
        <v>133</v>
      </c>
      <c r="E279">
        <v>3410</v>
      </c>
      <c r="F279">
        <v>15.8</v>
      </c>
      <c r="G279">
        <v>78</v>
      </c>
      <c r="H279" t="s">
        <v>30</v>
      </c>
      <c r="I279" t="s">
        <v>221</v>
      </c>
    </row>
    <row r="280" spans="1:9" x14ac:dyDescent="0.45">
      <c r="A280">
        <v>31.5</v>
      </c>
      <c r="B280">
        <v>4</v>
      </c>
      <c r="C280">
        <v>89</v>
      </c>
      <c r="D280">
        <v>71</v>
      </c>
      <c r="E280">
        <v>1990</v>
      </c>
      <c r="F280">
        <v>14.9</v>
      </c>
      <c r="G280">
        <v>78</v>
      </c>
      <c r="H280" t="s">
        <v>30</v>
      </c>
      <c r="I280" t="s">
        <v>222</v>
      </c>
    </row>
    <row r="281" spans="1:9" x14ac:dyDescent="0.45">
      <c r="A281">
        <v>29.5</v>
      </c>
      <c r="B281">
        <v>4</v>
      </c>
      <c r="C281">
        <v>98</v>
      </c>
      <c r="D281">
        <v>68</v>
      </c>
      <c r="E281">
        <v>2135</v>
      </c>
      <c r="F281">
        <v>16.600000000000001</v>
      </c>
      <c r="G281">
        <v>78</v>
      </c>
      <c r="H281" t="s">
        <v>24</v>
      </c>
      <c r="I281" t="s">
        <v>223</v>
      </c>
    </row>
    <row r="282" spans="1:9" x14ac:dyDescent="0.45">
      <c r="A282">
        <v>21.5</v>
      </c>
      <c r="B282">
        <v>6</v>
      </c>
      <c r="C282">
        <v>231</v>
      </c>
      <c r="D282">
        <v>115</v>
      </c>
      <c r="E282">
        <v>3245</v>
      </c>
      <c r="F282">
        <v>15.4</v>
      </c>
      <c r="G282">
        <v>79</v>
      </c>
      <c r="H282" t="s">
        <v>9</v>
      </c>
      <c r="I282" t="s">
        <v>224</v>
      </c>
    </row>
    <row r="283" spans="1:9" x14ac:dyDescent="0.45">
      <c r="A283">
        <v>19.8</v>
      </c>
      <c r="B283">
        <v>6</v>
      </c>
      <c r="C283">
        <v>200</v>
      </c>
      <c r="D283">
        <v>85</v>
      </c>
      <c r="E283">
        <v>2990</v>
      </c>
      <c r="F283">
        <v>18.2</v>
      </c>
      <c r="G283">
        <v>79</v>
      </c>
      <c r="H283" t="s">
        <v>9</v>
      </c>
      <c r="I283" t="s">
        <v>225</v>
      </c>
    </row>
    <row r="284" spans="1:9" x14ac:dyDescent="0.45">
      <c r="A284">
        <v>22.3</v>
      </c>
      <c r="B284">
        <v>4</v>
      </c>
      <c r="C284">
        <v>140</v>
      </c>
      <c r="D284">
        <v>88</v>
      </c>
      <c r="E284">
        <v>2890</v>
      </c>
      <c r="F284">
        <v>17.3</v>
      </c>
      <c r="G284">
        <v>79</v>
      </c>
      <c r="H284" t="s">
        <v>9</v>
      </c>
      <c r="I284" t="s">
        <v>226</v>
      </c>
    </row>
    <row r="285" spans="1:9" x14ac:dyDescent="0.45">
      <c r="A285">
        <v>20.2</v>
      </c>
      <c r="B285">
        <v>6</v>
      </c>
      <c r="C285">
        <v>232</v>
      </c>
      <c r="D285">
        <v>90</v>
      </c>
      <c r="E285">
        <v>3265</v>
      </c>
      <c r="F285">
        <v>18.2</v>
      </c>
      <c r="G285">
        <v>79</v>
      </c>
      <c r="H285" t="s">
        <v>9</v>
      </c>
      <c r="I285" t="s">
        <v>227</v>
      </c>
    </row>
    <row r="286" spans="1:9" x14ac:dyDescent="0.45">
      <c r="A286">
        <v>20.6</v>
      </c>
      <c r="B286">
        <v>6</v>
      </c>
      <c r="C286">
        <v>225</v>
      </c>
      <c r="D286">
        <v>110</v>
      </c>
      <c r="E286">
        <v>3360</v>
      </c>
      <c r="F286">
        <v>16.600000000000001</v>
      </c>
      <c r="G286">
        <v>79</v>
      </c>
      <c r="H286" t="s">
        <v>9</v>
      </c>
      <c r="I286" t="s">
        <v>228</v>
      </c>
    </row>
    <row r="287" spans="1:9" x14ac:dyDescent="0.45">
      <c r="A287">
        <v>17</v>
      </c>
      <c r="B287">
        <v>8</v>
      </c>
      <c r="C287">
        <v>305</v>
      </c>
      <c r="D287">
        <v>130</v>
      </c>
      <c r="E287">
        <v>3840</v>
      </c>
      <c r="F287">
        <v>15.4</v>
      </c>
      <c r="G287">
        <v>79</v>
      </c>
      <c r="H287" t="s">
        <v>9</v>
      </c>
      <c r="I287" t="s">
        <v>92</v>
      </c>
    </row>
    <row r="288" spans="1:9" x14ac:dyDescent="0.45">
      <c r="A288">
        <v>17.600000000000001</v>
      </c>
      <c r="B288">
        <v>8</v>
      </c>
      <c r="C288">
        <v>302</v>
      </c>
      <c r="D288">
        <v>129</v>
      </c>
      <c r="E288">
        <v>3725</v>
      </c>
      <c r="F288">
        <v>13.4</v>
      </c>
      <c r="G288">
        <v>79</v>
      </c>
      <c r="H288" t="s">
        <v>9</v>
      </c>
      <c r="I288" t="s">
        <v>229</v>
      </c>
    </row>
    <row r="289" spans="1:9" x14ac:dyDescent="0.45">
      <c r="A289">
        <v>16.5</v>
      </c>
      <c r="B289">
        <v>8</v>
      </c>
      <c r="C289">
        <v>351</v>
      </c>
      <c r="D289">
        <v>138</v>
      </c>
      <c r="E289">
        <v>3955</v>
      </c>
      <c r="F289">
        <v>13.2</v>
      </c>
      <c r="G289">
        <v>79</v>
      </c>
      <c r="H289" t="s">
        <v>9</v>
      </c>
      <c r="I289" t="s">
        <v>230</v>
      </c>
    </row>
    <row r="290" spans="1:9" x14ac:dyDescent="0.45">
      <c r="A290">
        <v>18.2</v>
      </c>
      <c r="B290">
        <v>8</v>
      </c>
      <c r="C290">
        <v>318</v>
      </c>
      <c r="D290">
        <v>135</v>
      </c>
      <c r="E290">
        <v>3830</v>
      </c>
      <c r="F290">
        <v>15.2</v>
      </c>
      <c r="G290">
        <v>79</v>
      </c>
      <c r="H290" t="s">
        <v>9</v>
      </c>
      <c r="I290" t="s">
        <v>231</v>
      </c>
    </row>
    <row r="291" spans="1:9" x14ac:dyDescent="0.45">
      <c r="A291">
        <v>16.899999999999999</v>
      </c>
      <c r="B291">
        <v>8</v>
      </c>
      <c r="C291">
        <v>350</v>
      </c>
      <c r="D291">
        <v>155</v>
      </c>
      <c r="E291">
        <v>4360</v>
      </c>
      <c r="F291">
        <v>14.9</v>
      </c>
      <c r="G291">
        <v>79</v>
      </c>
      <c r="H291" t="s">
        <v>9</v>
      </c>
      <c r="I291" t="s">
        <v>23</v>
      </c>
    </row>
    <row r="292" spans="1:9" x14ac:dyDescent="0.45">
      <c r="A292">
        <v>15.5</v>
      </c>
      <c r="B292">
        <v>8</v>
      </c>
      <c r="C292">
        <v>351</v>
      </c>
      <c r="D292">
        <v>142</v>
      </c>
      <c r="E292">
        <v>4054</v>
      </c>
      <c r="F292">
        <v>14.3</v>
      </c>
      <c r="G292">
        <v>79</v>
      </c>
      <c r="H292" t="s">
        <v>9</v>
      </c>
      <c r="I292" t="s">
        <v>49</v>
      </c>
    </row>
    <row r="293" spans="1:9" x14ac:dyDescent="0.45">
      <c r="A293">
        <v>19.2</v>
      </c>
      <c r="B293">
        <v>8</v>
      </c>
      <c r="C293">
        <v>267</v>
      </c>
      <c r="D293">
        <v>125</v>
      </c>
      <c r="E293">
        <v>3605</v>
      </c>
      <c r="F293">
        <v>15</v>
      </c>
      <c r="G293">
        <v>79</v>
      </c>
      <c r="H293" t="s">
        <v>9</v>
      </c>
      <c r="I293" t="s">
        <v>232</v>
      </c>
    </row>
    <row r="294" spans="1:9" x14ac:dyDescent="0.45">
      <c r="A294">
        <v>18.5</v>
      </c>
      <c r="B294">
        <v>8</v>
      </c>
      <c r="C294">
        <v>360</v>
      </c>
      <c r="D294">
        <v>150</v>
      </c>
      <c r="E294">
        <v>3940</v>
      </c>
      <c r="F294">
        <v>13</v>
      </c>
      <c r="G294">
        <v>79</v>
      </c>
      <c r="H294" t="s">
        <v>9</v>
      </c>
      <c r="I294" t="s">
        <v>233</v>
      </c>
    </row>
    <row r="295" spans="1:9" x14ac:dyDescent="0.45">
      <c r="A295">
        <v>31.9</v>
      </c>
      <c r="B295">
        <v>4</v>
      </c>
      <c r="C295">
        <v>89</v>
      </c>
      <c r="D295">
        <v>71</v>
      </c>
      <c r="E295">
        <v>1925</v>
      </c>
      <c r="F295">
        <v>14</v>
      </c>
      <c r="G295">
        <v>79</v>
      </c>
      <c r="H295" t="s">
        <v>30</v>
      </c>
      <c r="I295" t="s">
        <v>234</v>
      </c>
    </row>
    <row r="296" spans="1:9" x14ac:dyDescent="0.45">
      <c r="A296">
        <v>34.1</v>
      </c>
      <c r="B296">
        <v>4</v>
      </c>
      <c r="C296">
        <v>86</v>
      </c>
      <c r="D296">
        <v>65</v>
      </c>
      <c r="E296">
        <v>1975</v>
      </c>
      <c r="F296">
        <v>15.2</v>
      </c>
      <c r="G296">
        <v>79</v>
      </c>
      <c r="H296" t="s">
        <v>24</v>
      </c>
      <c r="I296" t="s">
        <v>235</v>
      </c>
    </row>
    <row r="297" spans="1:9" x14ac:dyDescent="0.45">
      <c r="A297">
        <v>35.700000000000003</v>
      </c>
      <c r="B297">
        <v>4</v>
      </c>
      <c r="C297">
        <v>98</v>
      </c>
      <c r="D297">
        <v>80</v>
      </c>
      <c r="E297">
        <v>1915</v>
      </c>
      <c r="F297">
        <v>14.4</v>
      </c>
      <c r="G297">
        <v>79</v>
      </c>
      <c r="H297" t="s">
        <v>9</v>
      </c>
      <c r="I297" t="s">
        <v>236</v>
      </c>
    </row>
    <row r="298" spans="1:9" x14ac:dyDescent="0.45">
      <c r="A298">
        <v>27.4</v>
      </c>
      <c r="B298">
        <v>4</v>
      </c>
      <c r="C298">
        <v>121</v>
      </c>
      <c r="D298">
        <v>80</v>
      </c>
      <c r="E298">
        <v>2670</v>
      </c>
      <c r="F298">
        <v>15</v>
      </c>
      <c r="G298">
        <v>79</v>
      </c>
      <c r="H298" t="s">
        <v>9</v>
      </c>
      <c r="I298" t="s">
        <v>237</v>
      </c>
    </row>
    <row r="299" spans="1:9" x14ac:dyDescent="0.45">
      <c r="A299">
        <v>25.4</v>
      </c>
      <c r="B299">
        <v>5</v>
      </c>
      <c r="C299">
        <v>183</v>
      </c>
      <c r="D299">
        <v>77</v>
      </c>
      <c r="E299">
        <v>3530</v>
      </c>
      <c r="F299">
        <v>20.100000000000001</v>
      </c>
      <c r="G299">
        <v>79</v>
      </c>
      <c r="H299" t="s">
        <v>30</v>
      </c>
      <c r="I299" t="s">
        <v>238</v>
      </c>
    </row>
    <row r="300" spans="1:9" x14ac:dyDescent="0.45">
      <c r="A300">
        <v>23</v>
      </c>
      <c r="B300">
        <v>8</v>
      </c>
      <c r="C300">
        <v>350</v>
      </c>
      <c r="D300">
        <v>125</v>
      </c>
      <c r="E300">
        <v>3900</v>
      </c>
      <c r="F300">
        <v>17.399999999999999</v>
      </c>
      <c r="G300">
        <v>79</v>
      </c>
      <c r="H300" t="s">
        <v>9</v>
      </c>
      <c r="I300" t="s">
        <v>239</v>
      </c>
    </row>
    <row r="301" spans="1:9" x14ac:dyDescent="0.45">
      <c r="A301">
        <v>27.2</v>
      </c>
      <c r="B301">
        <v>4</v>
      </c>
      <c r="C301">
        <v>141</v>
      </c>
      <c r="D301">
        <v>71</v>
      </c>
      <c r="E301">
        <v>3190</v>
      </c>
      <c r="F301">
        <v>24.8</v>
      </c>
      <c r="G301">
        <v>79</v>
      </c>
      <c r="H301" t="s">
        <v>30</v>
      </c>
      <c r="I301" t="s">
        <v>32</v>
      </c>
    </row>
    <row r="302" spans="1:9" x14ac:dyDescent="0.45">
      <c r="A302">
        <v>23.9</v>
      </c>
      <c r="B302">
        <v>8</v>
      </c>
      <c r="C302">
        <v>260</v>
      </c>
      <c r="D302">
        <v>90</v>
      </c>
      <c r="E302">
        <v>3420</v>
      </c>
      <c r="F302">
        <v>22.2</v>
      </c>
      <c r="G302">
        <v>79</v>
      </c>
      <c r="H302" t="s">
        <v>9</v>
      </c>
      <c r="I302" t="s">
        <v>197</v>
      </c>
    </row>
    <row r="303" spans="1:9" x14ac:dyDescent="0.45">
      <c r="A303">
        <v>34.200000000000003</v>
      </c>
      <c r="B303">
        <v>4</v>
      </c>
      <c r="C303">
        <v>105</v>
      </c>
      <c r="D303">
        <v>70</v>
      </c>
      <c r="E303">
        <v>2200</v>
      </c>
      <c r="F303">
        <v>13.2</v>
      </c>
      <c r="G303">
        <v>79</v>
      </c>
      <c r="H303" t="s">
        <v>9</v>
      </c>
      <c r="I303" t="s">
        <v>240</v>
      </c>
    </row>
    <row r="304" spans="1:9" x14ac:dyDescent="0.45">
      <c r="A304">
        <v>34.5</v>
      </c>
      <c r="B304">
        <v>4</v>
      </c>
      <c r="C304">
        <v>105</v>
      </c>
      <c r="D304">
        <v>70</v>
      </c>
      <c r="E304">
        <v>2150</v>
      </c>
      <c r="F304">
        <v>14.9</v>
      </c>
      <c r="G304">
        <v>79</v>
      </c>
      <c r="H304" t="s">
        <v>9</v>
      </c>
      <c r="I304" t="s">
        <v>241</v>
      </c>
    </row>
    <row r="305" spans="1:9" x14ac:dyDescent="0.45">
      <c r="A305">
        <v>31.8</v>
      </c>
      <c r="B305">
        <v>4</v>
      </c>
      <c r="C305">
        <v>85</v>
      </c>
      <c r="D305">
        <v>65</v>
      </c>
      <c r="E305">
        <v>2020</v>
      </c>
      <c r="F305">
        <v>19.2</v>
      </c>
      <c r="G305">
        <v>79</v>
      </c>
      <c r="H305" t="s">
        <v>24</v>
      </c>
      <c r="I305" t="s">
        <v>242</v>
      </c>
    </row>
    <row r="306" spans="1:9" x14ac:dyDescent="0.45">
      <c r="A306">
        <v>37.299999999999997</v>
      </c>
      <c r="B306">
        <v>4</v>
      </c>
      <c r="C306">
        <v>91</v>
      </c>
      <c r="D306">
        <v>69</v>
      </c>
      <c r="E306">
        <v>2130</v>
      </c>
      <c r="F306">
        <v>14.7</v>
      </c>
      <c r="G306">
        <v>79</v>
      </c>
      <c r="H306" t="s">
        <v>30</v>
      </c>
      <c r="I306" t="s">
        <v>243</v>
      </c>
    </row>
    <row r="307" spans="1:9" x14ac:dyDescent="0.45">
      <c r="A307">
        <v>28.4</v>
      </c>
      <c r="B307">
        <v>4</v>
      </c>
      <c r="C307">
        <v>151</v>
      </c>
      <c r="D307">
        <v>90</v>
      </c>
      <c r="E307">
        <v>2670</v>
      </c>
      <c r="F307">
        <v>16</v>
      </c>
      <c r="G307">
        <v>79</v>
      </c>
      <c r="H307" t="s">
        <v>9</v>
      </c>
      <c r="I307" t="s">
        <v>244</v>
      </c>
    </row>
    <row r="308" spans="1:9" x14ac:dyDescent="0.45">
      <c r="A308">
        <v>28.8</v>
      </c>
      <c r="B308">
        <v>6</v>
      </c>
      <c r="C308">
        <v>173</v>
      </c>
      <c r="D308">
        <v>115</v>
      </c>
      <c r="E308">
        <v>2595</v>
      </c>
      <c r="F308">
        <v>11.3</v>
      </c>
      <c r="G308">
        <v>79</v>
      </c>
      <c r="H308" t="s">
        <v>9</v>
      </c>
      <c r="I308" t="s">
        <v>245</v>
      </c>
    </row>
    <row r="309" spans="1:9" x14ac:dyDescent="0.45">
      <c r="A309">
        <v>26.8</v>
      </c>
      <c r="B309">
        <v>6</v>
      </c>
      <c r="C309">
        <v>173</v>
      </c>
      <c r="D309">
        <v>115</v>
      </c>
      <c r="E309">
        <v>2700</v>
      </c>
      <c r="F309">
        <v>12.9</v>
      </c>
      <c r="G309">
        <v>79</v>
      </c>
      <c r="H309" t="s">
        <v>9</v>
      </c>
      <c r="I309" t="s">
        <v>246</v>
      </c>
    </row>
    <row r="310" spans="1:9" x14ac:dyDescent="0.45">
      <c r="A310">
        <v>33.5</v>
      </c>
      <c r="B310">
        <v>4</v>
      </c>
      <c r="C310">
        <v>151</v>
      </c>
      <c r="D310">
        <v>90</v>
      </c>
      <c r="E310">
        <v>2556</v>
      </c>
      <c r="F310">
        <v>13.2</v>
      </c>
      <c r="G310">
        <v>79</v>
      </c>
      <c r="H310" t="s">
        <v>9</v>
      </c>
      <c r="I310" t="s">
        <v>247</v>
      </c>
    </row>
    <row r="311" spans="1:9" x14ac:dyDescent="0.45">
      <c r="A311">
        <v>41.5</v>
      </c>
      <c r="B311">
        <v>4</v>
      </c>
      <c r="C311">
        <v>98</v>
      </c>
      <c r="D311">
        <v>76</v>
      </c>
      <c r="E311">
        <v>2144</v>
      </c>
      <c r="F311">
        <v>14.7</v>
      </c>
      <c r="G311">
        <v>80</v>
      </c>
      <c r="H311" t="s">
        <v>30</v>
      </c>
      <c r="I311" t="s">
        <v>155</v>
      </c>
    </row>
    <row r="312" spans="1:9" x14ac:dyDescent="0.45">
      <c r="A312">
        <v>38.1</v>
      </c>
      <c r="B312">
        <v>4</v>
      </c>
      <c r="C312">
        <v>89</v>
      </c>
      <c r="D312">
        <v>60</v>
      </c>
      <c r="E312">
        <v>1968</v>
      </c>
      <c r="F312">
        <v>18.8</v>
      </c>
      <c r="G312">
        <v>80</v>
      </c>
      <c r="H312" t="s">
        <v>24</v>
      </c>
      <c r="I312" t="s">
        <v>248</v>
      </c>
    </row>
    <row r="313" spans="1:9" x14ac:dyDescent="0.45">
      <c r="A313">
        <v>32.1</v>
      </c>
      <c r="B313">
        <v>4</v>
      </c>
      <c r="C313">
        <v>98</v>
      </c>
      <c r="D313">
        <v>70</v>
      </c>
      <c r="E313">
        <v>2120</v>
      </c>
      <c r="F313">
        <v>15.5</v>
      </c>
      <c r="G313">
        <v>80</v>
      </c>
      <c r="H313" t="s">
        <v>9</v>
      </c>
      <c r="I313" t="s">
        <v>153</v>
      </c>
    </row>
    <row r="314" spans="1:9" x14ac:dyDescent="0.45">
      <c r="A314">
        <v>37.200000000000003</v>
      </c>
      <c r="B314">
        <v>4</v>
      </c>
      <c r="C314">
        <v>86</v>
      </c>
      <c r="D314">
        <v>65</v>
      </c>
      <c r="E314">
        <v>2019</v>
      </c>
      <c r="F314">
        <v>16.399999999999999</v>
      </c>
      <c r="G314">
        <v>80</v>
      </c>
      <c r="H314" t="s">
        <v>24</v>
      </c>
      <c r="I314" t="s">
        <v>249</v>
      </c>
    </row>
    <row r="315" spans="1:9" x14ac:dyDescent="0.45">
      <c r="A315">
        <v>28</v>
      </c>
      <c r="B315">
        <v>4</v>
      </c>
      <c r="C315">
        <v>151</v>
      </c>
      <c r="D315">
        <v>90</v>
      </c>
      <c r="E315">
        <v>2678</v>
      </c>
      <c r="F315">
        <v>16.5</v>
      </c>
      <c r="G315">
        <v>80</v>
      </c>
      <c r="H315" t="s">
        <v>9</v>
      </c>
      <c r="I315" t="s">
        <v>245</v>
      </c>
    </row>
    <row r="316" spans="1:9" x14ac:dyDescent="0.45">
      <c r="A316">
        <v>26.4</v>
      </c>
      <c r="B316">
        <v>4</v>
      </c>
      <c r="C316">
        <v>140</v>
      </c>
      <c r="D316">
        <v>88</v>
      </c>
      <c r="E316">
        <v>2870</v>
      </c>
      <c r="F316">
        <v>18.100000000000001</v>
      </c>
      <c r="G316">
        <v>80</v>
      </c>
      <c r="H316" t="s">
        <v>9</v>
      </c>
      <c r="I316" t="s">
        <v>250</v>
      </c>
    </row>
    <row r="317" spans="1:9" x14ac:dyDescent="0.45">
      <c r="A317">
        <v>24.3</v>
      </c>
      <c r="B317">
        <v>4</v>
      </c>
      <c r="C317">
        <v>151</v>
      </c>
      <c r="D317">
        <v>90</v>
      </c>
      <c r="E317">
        <v>3003</v>
      </c>
      <c r="F317">
        <v>20.100000000000001</v>
      </c>
      <c r="G317">
        <v>80</v>
      </c>
      <c r="H317" t="s">
        <v>9</v>
      </c>
      <c r="I317" t="s">
        <v>204</v>
      </c>
    </row>
    <row r="318" spans="1:9" x14ac:dyDescent="0.45">
      <c r="A318">
        <v>19.100000000000001</v>
      </c>
      <c r="B318">
        <v>6</v>
      </c>
      <c r="C318">
        <v>225</v>
      </c>
      <c r="D318">
        <v>90</v>
      </c>
      <c r="E318">
        <v>3381</v>
      </c>
      <c r="F318">
        <v>18.7</v>
      </c>
      <c r="G318">
        <v>80</v>
      </c>
      <c r="H318" t="s">
        <v>9</v>
      </c>
      <c r="I318" t="s">
        <v>207</v>
      </c>
    </row>
    <row r="319" spans="1:9" x14ac:dyDescent="0.45">
      <c r="A319">
        <v>34.299999999999997</v>
      </c>
      <c r="B319">
        <v>4</v>
      </c>
      <c r="C319">
        <v>97</v>
      </c>
      <c r="D319">
        <v>78</v>
      </c>
      <c r="E319">
        <v>2188</v>
      </c>
      <c r="F319">
        <v>15.8</v>
      </c>
      <c r="G319">
        <v>80</v>
      </c>
      <c r="H319" t="s">
        <v>30</v>
      </c>
      <c r="I319" t="s">
        <v>251</v>
      </c>
    </row>
    <row r="320" spans="1:9" x14ac:dyDescent="0.45">
      <c r="A320">
        <v>29.8</v>
      </c>
      <c r="B320">
        <v>4</v>
      </c>
      <c r="C320">
        <v>134</v>
      </c>
      <c r="D320">
        <v>90</v>
      </c>
      <c r="E320">
        <v>2711</v>
      </c>
      <c r="F320">
        <v>15.5</v>
      </c>
      <c r="G320">
        <v>80</v>
      </c>
      <c r="H320" t="s">
        <v>24</v>
      </c>
      <c r="I320" t="s">
        <v>252</v>
      </c>
    </row>
    <row r="321" spans="1:9" x14ac:dyDescent="0.45">
      <c r="A321">
        <v>31.3</v>
      </c>
      <c r="B321">
        <v>4</v>
      </c>
      <c r="C321">
        <v>120</v>
      </c>
      <c r="D321">
        <v>75</v>
      </c>
      <c r="E321">
        <v>2542</v>
      </c>
      <c r="F321">
        <v>17.5</v>
      </c>
      <c r="G321">
        <v>80</v>
      </c>
      <c r="H321" t="s">
        <v>24</v>
      </c>
      <c r="I321" t="s">
        <v>253</v>
      </c>
    </row>
    <row r="322" spans="1:9" x14ac:dyDescent="0.45">
      <c r="A322">
        <v>37</v>
      </c>
      <c r="B322">
        <v>4</v>
      </c>
      <c r="C322">
        <v>119</v>
      </c>
      <c r="D322">
        <v>92</v>
      </c>
      <c r="E322">
        <v>2434</v>
      </c>
      <c r="F322">
        <v>15</v>
      </c>
      <c r="G322">
        <v>80</v>
      </c>
      <c r="H322" t="s">
        <v>24</v>
      </c>
      <c r="I322" t="s">
        <v>254</v>
      </c>
    </row>
    <row r="323" spans="1:9" x14ac:dyDescent="0.45">
      <c r="A323">
        <v>32.200000000000003</v>
      </c>
      <c r="B323">
        <v>4</v>
      </c>
      <c r="C323">
        <v>108</v>
      </c>
      <c r="D323">
        <v>75</v>
      </c>
      <c r="E323">
        <v>2265</v>
      </c>
      <c r="F323">
        <v>15.2</v>
      </c>
      <c r="G323">
        <v>80</v>
      </c>
      <c r="H323" t="s">
        <v>24</v>
      </c>
      <c r="I323" t="s">
        <v>143</v>
      </c>
    </row>
    <row r="324" spans="1:9" x14ac:dyDescent="0.45">
      <c r="A324">
        <v>46.6</v>
      </c>
      <c r="B324">
        <v>4</v>
      </c>
      <c r="C324">
        <v>86</v>
      </c>
      <c r="D324">
        <v>65</v>
      </c>
      <c r="E324">
        <v>2110</v>
      </c>
      <c r="F324">
        <v>17.899999999999999</v>
      </c>
      <c r="G324">
        <v>80</v>
      </c>
      <c r="H324" t="s">
        <v>24</v>
      </c>
      <c r="I324" t="s">
        <v>255</v>
      </c>
    </row>
    <row r="325" spans="1:9" x14ac:dyDescent="0.45">
      <c r="A325">
        <v>27.9</v>
      </c>
      <c r="B325">
        <v>4</v>
      </c>
      <c r="C325">
        <v>156</v>
      </c>
      <c r="D325">
        <v>105</v>
      </c>
      <c r="E325">
        <v>2800</v>
      </c>
      <c r="F325">
        <v>14.4</v>
      </c>
      <c r="G325">
        <v>80</v>
      </c>
      <c r="H325" t="s">
        <v>9</v>
      </c>
      <c r="I325" t="s">
        <v>128</v>
      </c>
    </row>
    <row r="326" spans="1:9" x14ac:dyDescent="0.45">
      <c r="A326">
        <v>40.799999999999997</v>
      </c>
      <c r="B326">
        <v>4</v>
      </c>
      <c r="C326">
        <v>85</v>
      </c>
      <c r="D326">
        <v>65</v>
      </c>
      <c r="E326">
        <v>2110</v>
      </c>
      <c r="F326">
        <v>19.2</v>
      </c>
      <c r="G326">
        <v>80</v>
      </c>
      <c r="H326" t="s">
        <v>24</v>
      </c>
      <c r="I326" t="s">
        <v>242</v>
      </c>
    </row>
    <row r="327" spans="1:9" x14ac:dyDescent="0.45">
      <c r="A327">
        <v>44.3</v>
      </c>
      <c r="B327">
        <v>4</v>
      </c>
      <c r="C327">
        <v>90</v>
      </c>
      <c r="D327">
        <v>48</v>
      </c>
      <c r="E327">
        <v>2085</v>
      </c>
      <c r="F327">
        <v>21.7</v>
      </c>
      <c r="G327">
        <v>80</v>
      </c>
      <c r="H327" t="s">
        <v>30</v>
      </c>
      <c r="I327" t="s">
        <v>256</v>
      </c>
    </row>
    <row r="328" spans="1:9" x14ac:dyDescent="0.45">
      <c r="A328">
        <v>43.4</v>
      </c>
      <c r="B328">
        <v>4</v>
      </c>
      <c r="C328">
        <v>90</v>
      </c>
      <c r="D328">
        <v>48</v>
      </c>
      <c r="E328">
        <v>2335</v>
      </c>
      <c r="F328">
        <v>23.7</v>
      </c>
      <c r="G328">
        <v>80</v>
      </c>
      <c r="H328" t="s">
        <v>30</v>
      </c>
      <c r="I328" t="s">
        <v>257</v>
      </c>
    </row>
    <row r="329" spans="1:9" x14ac:dyDescent="0.45">
      <c r="A329">
        <v>36.4</v>
      </c>
      <c r="B329">
        <v>5</v>
      </c>
      <c r="C329">
        <v>121</v>
      </c>
      <c r="D329">
        <v>67</v>
      </c>
      <c r="E329">
        <v>2950</v>
      </c>
      <c r="F329">
        <v>19.899999999999999</v>
      </c>
      <c r="G329">
        <v>80</v>
      </c>
      <c r="H329" t="s">
        <v>30</v>
      </c>
      <c r="I329" t="s">
        <v>258</v>
      </c>
    </row>
    <row r="330" spans="1:9" x14ac:dyDescent="0.45">
      <c r="A330">
        <v>30</v>
      </c>
      <c r="B330">
        <v>4</v>
      </c>
      <c r="C330">
        <v>146</v>
      </c>
      <c r="D330">
        <v>67</v>
      </c>
      <c r="E330">
        <v>3250</v>
      </c>
      <c r="F330">
        <v>21.8</v>
      </c>
      <c r="G330">
        <v>80</v>
      </c>
      <c r="H330" t="s">
        <v>30</v>
      </c>
      <c r="I330" t="s">
        <v>259</v>
      </c>
    </row>
    <row r="331" spans="1:9" x14ac:dyDescent="0.45">
      <c r="A331">
        <v>44.6</v>
      </c>
      <c r="B331">
        <v>4</v>
      </c>
      <c r="C331">
        <v>91</v>
      </c>
      <c r="D331">
        <v>67</v>
      </c>
      <c r="E331">
        <v>1850</v>
      </c>
      <c r="F331">
        <v>13.8</v>
      </c>
      <c r="G331">
        <v>80</v>
      </c>
      <c r="H331" t="s">
        <v>24</v>
      </c>
      <c r="I331" t="s">
        <v>260</v>
      </c>
    </row>
    <row r="332" spans="1:9" x14ac:dyDescent="0.45">
      <c r="A332">
        <v>40.9</v>
      </c>
      <c r="B332">
        <v>4</v>
      </c>
      <c r="C332">
        <v>85</v>
      </c>
      <c r="E332">
        <v>1835</v>
      </c>
      <c r="F332">
        <v>17.3</v>
      </c>
      <c r="G332">
        <v>80</v>
      </c>
      <c r="H332" t="s">
        <v>30</v>
      </c>
      <c r="I332" t="s">
        <v>261</v>
      </c>
    </row>
    <row r="333" spans="1:9" x14ac:dyDescent="0.45">
      <c r="A333">
        <v>33.799999999999997</v>
      </c>
      <c r="B333">
        <v>4</v>
      </c>
      <c r="C333">
        <v>97</v>
      </c>
      <c r="D333">
        <v>67</v>
      </c>
      <c r="E333">
        <v>2145</v>
      </c>
      <c r="F333">
        <v>18</v>
      </c>
      <c r="G333">
        <v>80</v>
      </c>
      <c r="H333" t="s">
        <v>24</v>
      </c>
      <c r="I333" t="s">
        <v>189</v>
      </c>
    </row>
    <row r="334" spans="1:9" x14ac:dyDescent="0.45">
      <c r="A334">
        <v>29.8</v>
      </c>
      <c r="B334">
        <v>4</v>
      </c>
      <c r="C334">
        <v>89</v>
      </c>
      <c r="D334">
        <v>62</v>
      </c>
      <c r="E334">
        <v>1845</v>
      </c>
      <c r="F334">
        <v>15.3</v>
      </c>
      <c r="G334">
        <v>80</v>
      </c>
      <c r="H334" t="s">
        <v>30</v>
      </c>
      <c r="I334" t="s">
        <v>262</v>
      </c>
    </row>
    <row r="335" spans="1:9" x14ac:dyDescent="0.45">
      <c r="A335">
        <v>32.700000000000003</v>
      </c>
      <c r="B335">
        <v>6</v>
      </c>
      <c r="C335">
        <v>168</v>
      </c>
      <c r="D335">
        <v>132</v>
      </c>
      <c r="E335">
        <v>2910</v>
      </c>
      <c r="F335">
        <v>11.4</v>
      </c>
      <c r="G335">
        <v>80</v>
      </c>
      <c r="H335" t="s">
        <v>24</v>
      </c>
      <c r="I335" t="s">
        <v>263</v>
      </c>
    </row>
    <row r="336" spans="1:9" x14ac:dyDescent="0.45">
      <c r="A336">
        <v>23.7</v>
      </c>
      <c r="B336">
        <v>3</v>
      </c>
      <c r="C336">
        <v>70</v>
      </c>
      <c r="D336">
        <v>100</v>
      </c>
      <c r="E336">
        <v>2420</v>
      </c>
      <c r="F336">
        <v>12.5</v>
      </c>
      <c r="G336">
        <v>80</v>
      </c>
      <c r="H336" t="s">
        <v>24</v>
      </c>
      <c r="I336" t="s">
        <v>264</v>
      </c>
    </row>
    <row r="337" spans="1:9" x14ac:dyDescent="0.45">
      <c r="A337">
        <v>35</v>
      </c>
      <c r="B337">
        <v>4</v>
      </c>
      <c r="C337">
        <v>122</v>
      </c>
      <c r="D337">
        <v>88</v>
      </c>
      <c r="E337">
        <v>2500</v>
      </c>
      <c r="F337">
        <v>15.1</v>
      </c>
      <c r="G337">
        <v>80</v>
      </c>
      <c r="H337" t="s">
        <v>30</v>
      </c>
      <c r="I337" t="s">
        <v>265</v>
      </c>
    </row>
    <row r="338" spans="1:9" x14ac:dyDescent="0.45">
      <c r="A338">
        <v>23.6</v>
      </c>
      <c r="B338">
        <v>4</v>
      </c>
      <c r="C338">
        <v>140</v>
      </c>
      <c r="E338">
        <v>2905</v>
      </c>
      <c r="F338">
        <v>14.3</v>
      </c>
      <c r="G338">
        <v>80</v>
      </c>
      <c r="H338" t="s">
        <v>9</v>
      </c>
      <c r="I338" t="s">
        <v>266</v>
      </c>
    </row>
    <row r="339" spans="1:9" x14ac:dyDescent="0.45">
      <c r="A339">
        <v>32.4</v>
      </c>
      <c r="B339">
        <v>4</v>
      </c>
      <c r="C339">
        <v>107</v>
      </c>
      <c r="D339">
        <v>72</v>
      </c>
      <c r="E339">
        <v>2290</v>
      </c>
      <c r="F339">
        <v>17</v>
      </c>
      <c r="G339">
        <v>80</v>
      </c>
      <c r="H339" t="s">
        <v>24</v>
      </c>
      <c r="I339" t="s">
        <v>267</v>
      </c>
    </row>
    <row r="340" spans="1:9" x14ac:dyDescent="0.45">
      <c r="A340">
        <v>27.2</v>
      </c>
      <c r="B340">
        <v>4</v>
      </c>
      <c r="C340">
        <v>135</v>
      </c>
      <c r="D340">
        <v>84</v>
      </c>
      <c r="E340">
        <v>2490</v>
      </c>
      <c r="F340">
        <v>15.7</v>
      </c>
      <c r="G340">
        <v>81</v>
      </c>
      <c r="H340" t="s">
        <v>9</v>
      </c>
      <c r="I340" t="s">
        <v>268</v>
      </c>
    </row>
    <row r="341" spans="1:9" x14ac:dyDescent="0.45">
      <c r="A341">
        <v>26.6</v>
      </c>
      <c r="B341">
        <v>4</v>
      </c>
      <c r="C341">
        <v>151</v>
      </c>
      <c r="D341">
        <v>84</v>
      </c>
      <c r="E341">
        <v>2635</v>
      </c>
      <c r="F341">
        <v>16.399999999999999</v>
      </c>
      <c r="G341">
        <v>81</v>
      </c>
      <c r="H341" t="s">
        <v>9</v>
      </c>
      <c r="I341" t="s">
        <v>177</v>
      </c>
    </row>
    <row r="342" spans="1:9" x14ac:dyDescent="0.45">
      <c r="A342">
        <v>25.8</v>
      </c>
      <c r="B342">
        <v>4</v>
      </c>
      <c r="C342">
        <v>156</v>
      </c>
      <c r="D342">
        <v>92</v>
      </c>
      <c r="E342">
        <v>2620</v>
      </c>
      <c r="F342">
        <v>14.4</v>
      </c>
      <c r="G342">
        <v>81</v>
      </c>
      <c r="H342" t="s">
        <v>9</v>
      </c>
      <c r="I342" t="s">
        <v>269</v>
      </c>
    </row>
    <row r="343" spans="1:9" x14ac:dyDescent="0.45">
      <c r="A343">
        <v>23.5</v>
      </c>
      <c r="B343">
        <v>6</v>
      </c>
      <c r="C343">
        <v>173</v>
      </c>
      <c r="D343">
        <v>110</v>
      </c>
      <c r="E343">
        <v>2725</v>
      </c>
      <c r="F343">
        <v>12.6</v>
      </c>
      <c r="G343">
        <v>81</v>
      </c>
      <c r="H343" t="s">
        <v>9</v>
      </c>
      <c r="I343" t="s">
        <v>245</v>
      </c>
    </row>
    <row r="344" spans="1:9" x14ac:dyDescent="0.45">
      <c r="A344">
        <v>30</v>
      </c>
      <c r="B344">
        <v>4</v>
      </c>
      <c r="C344">
        <v>135</v>
      </c>
      <c r="D344">
        <v>84</v>
      </c>
      <c r="E344">
        <v>2385</v>
      </c>
      <c r="F344">
        <v>12.9</v>
      </c>
      <c r="G344">
        <v>81</v>
      </c>
      <c r="H344" t="s">
        <v>9</v>
      </c>
      <c r="I344" t="s">
        <v>268</v>
      </c>
    </row>
    <row r="345" spans="1:9" x14ac:dyDescent="0.45">
      <c r="A345">
        <v>39.1</v>
      </c>
      <c r="B345">
        <v>4</v>
      </c>
      <c r="C345">
        <v>79</v>
      </c>
      <c r="D345">
        <v>58</v>
      </c>
      <c r="E345">
        <v>1755</v>
      </c>
      <c r="F345">
        <v>16.899999999999999</v>
      </c>
      <c r="G345">
        <v>81</v>
      </c>
      <c r="H345" t="s">
        <v>24</v>
      </c>
      <c r="I345" t="s">
        <v>270</v>
      </c>
    </row>
    <row r="346" spans="1:9" x14ac:dyDescent="0.45">
      <c r="A346">
        <v>39</v>
      </c>
      <c r="B346">
        <v>4</v>
      </c>
      <c r="C346">
        <v>86</v>
      </c>
      <c r="D346">
        <v>64</v>
      </c>
      <c r="E346">
        <v>1875</v>
      </c>
      <c r="F346">
        <v>16.399999999999999</v>
      </c>
      <c r="G346">
        <v>81</v>
      </c>
      <c r="H346" t="s">
        <v>9</v>
      </c>
      <c r="I346" t="s">
        <v>271</v>
      </c>
    </row>
    <row r="347" spans="1:9" x14ac:dyDescent="0.45">
      <c r="A347">
        <v>35.1</v>
      </c>
      <c r="B347">
        <v>4</v>
      </c>
      <c r="C347">
        <v>81</v>
      </c>
      <c r="D347">
        <v>60</v>
      </c>
      <c r="E347">
        <v>1760</v>
      </c>
      <c r="F347">
        <v>16.100000000000001</v>
      </c>
      <c r="G347">
        <v>81</v>
      </c>
      <c r="H347" t="s">
        <v>24</v>
      </c>
      <c r="I347" t="s">
        <v>272</v>
      </c>
    </row>
    <row r="348" spans="1:9" x14ac:dyDescent="0.45">
      <c r="A348">
        <v>32.299999999999997</v>
      </c>
      <c r="B348">
        <v>4</v>
      </c>
      <c r="C348">
        <v>97</v>
      </c>
      <c r="D348">
        <v>67</v>
      </c>
      <c r="E348">
        <v>2065</v>
      </c>
      <c r="F348">
        <v>17.8</v>
      </c>
      <c r="G348">
        <v>81</v>
      </c>
      <c r="H348" t="s">
        <v>24</v>
      </c>
      <c r="I348" t="s">
        <v>131</v>
      </c>
    </row>
    <row r="349" spans="1:9" x14ac:dyDescent="0.45">
      <c r="A349">
        <v>37</v>
      </c>
      <c r="B349">
        <v>4</v>
      </c>
      <c r="C349">
        <v>85</v>
      </c>
      <c r="D349">
        <v>65</v>
      </c>
      <c r="E349">
        <v>1975</v>
      </c>
      <c r="F349">
        <v>19.399999999999999</v>
      </c>
      <c r="G349">
        <v>81</v>
      </c>
      <c r="H349" t="s">
        <v>24</v>
      </c>
      <c r="I349" t="s">
        <v>273</v>
      </c>
    </row>
    <row r="350" spans="1:9" x14ac:dyDescent="0.45">
      <c r="A350">
        <v>37.700000000000003</v>
      </c>
      <c r="B350">
        <v>4</v>
      </c>
      <c r="C350">
        <v>89</v>
      </c>
      <c r="D350">
        <v>62</v>
      </c>
      <c r="E350">
        <v>2050</v>
      </c>
      <c r="F350">
        <v>17.3</v>
      </c>
      <c r="G350">
        <v>81</v>
      </c>
      <c r="H350" t="s">
        <v>24</v>
      </c>
      <c r="I350" t="s">
        <v>274</v>
      </c>
    </row>
    <row r="351" spans="1:9" x14ac:dyDescent="0.45">
      <c r="A351">
        <v>34.1</v>
      </c>
      <c r="B351">
        <v>4</v>
      </c>
      <c r="C351">
        <v>91</v>
      </c>
      <c r="D351">
        <v>68</v>
      </c>
      <c r="E351">
        <v>1985</v>
      </c>
      <c r="F351">
        <v>16</v>
      </c>
      <c r="G351">
        <v>81</v>
      </c>
      <c r="H351" t="s">
        <v>24</v>
      </c>
      <c r="I351" t="s">
        <v>275</v>
      </c>
    </row>
    <row r="352" spans="1:9" x14ac:dyDescent="0.45">
      <c r="A352">
        <v>34.700000000000003</v>
      </c>
      <c r="B352">
        <v>4</v>
      </c>
      <c r="C352">
        <v>105</v>
      </c>
      <c r="D352">
        <v>63</v>
      </c>
      <c r="E352">
        <v>2215</v>
      </c>
      <c r="F352">
        <v>14.9</v>
      </c>
      <c r="G352">
        <v>81</v>
      </c>
      <c r="H352" t="s">
        <v>9</v>
      </c>
      <c r="I352" t="s">
        <v>276</v>
      </c>
    </row>
    <row r="353" spans="1:9" x14ac:dyDescent="0.45">
      <c r="A353">
        <v>34.4</v>
      </c>
      <c r="B353">
        <v>4</v>
      </c>
      <c r="C353">
        <v>98</v>
      </c>
      <c r="D353">
        <v>65</v>
      </c>
      <c r="E353">
        <v>2045</v>
      </c>
      <c r="F353">
        <v>16.2</v>
      </c>
      <c r="G353">
        <v>81</v>
      </c>
      <c r="H353" t="s">
        <v>9</v>
      </c>
      <c r="I353" t="s">
        <v>277</v>
      </c>
    </row>
    <row r="354" spans="1:9" x14ac:dyDescent="0.45">
      <c r="A354">
        <v>29.9</v>
      </c>
      <c r="B354">
        <v>4</v>
      </c>
      <c r="C354">
        <v>98</v>
      </c>
      <c r="D354">
        <v>65</v>
      </c>
      <c r="E354">
        <v>2380</v>
      </c>
      <c r="F354">
        <v>20.7</v>
      </c>
      <c r="G354">
        <v>81</v>
      </c>
      <c r="H354" t="s">
        <v>9</v>
      </c>
      <c r="I354" t="s">
        <v>278</v>
      </c>
    </row>
    <row r="355" spans="1:9" x14ac:dyDescent="0.45">
      <c r="A355">
        <v>33</v>
      </c>
      <c r="B355">
        <v>4</v>
      </c>
      <c r="C355">
        <v>105</v>
      </c>
      <c r="D355">
        <v>74</v>
      </c>
      <c r="E355">
        <v>2190</v>
      </c>
      <c r="F355">
        <v>14.2</v>
      </c>
      <c r="G355">
        <v>81</v>
      </c>
      <c r="H355" t="s">
        <v>30</v>
      </c>
      <c r="I355" t="s">
        <v>279</v>
      </c>
    </row>
    <row r="356" spans="1:9" x14ac:dyDescent="0.45">
      <c r="A356">
        <v>34.5</v>
      </c>
      <c r="B356">
        <v>4</v>
      </c>
      <c r="C356">
        <v>100</v>
      </c>
      <c r="E356">
        <v>2320</v>
      </c>
      <c r="F356">
        <v>15.8</v>
      </c>
      <c r="G356">
        <v>81</v>
      </c>
      <c r="H356" t="s">
        <v>30</v>
      </c>
      <c r="I356" t="s">
        <v>280</v>
      </c>
    </row>
    <row r="357" spans="1:9" x14ac:dyDescent="0.45">
      <c r="A357">
        <v>33.700000000000003</v>
      </c>
      <c r="B357">
        <v>4</v>
      </c>
      <c r="C357">
        <v>107</v>
      </c>
      <c r="D357">
        <v>75</v>
      </c>
      <c r="E357">
        <v>2210</v>
      </c>
      <c r="F357">
        <v>14.4</v>
      </c>
      <c r="G357">
        <v>81</v>
      </c>
      <c r="H357" t="s">
        <v>24</v>
      </c>
      <c r="I357" t="s">
        <v>281</v>
      </c>
    </row>
    <row r="358" spans="1:9" x14ac:dyDescent="0.45">
      <c r="A358">
        <v>32.4</v>
      </c>
      <c r="B358">
        <v>4</v>
      </c>
      <c r="C358">
        <v>108</v>
      </c>
      <c r="D358">
        <v>75</v>
      </c>
      <c r="E358">
        <v>2350</v>
      </c>
      <c r="F358">
        <v>16.8</v>
      </c>
      <c r="G358">
        <v>81</v>
      </c>
      <c r="H358" t="s">
        <v>24</v>
      </c>
      <c r="I358" t="s">
        <v>143</v>
      </c>
    </row>
    <row r="359" spans="1:9" x14ac:dyDescent="0.45">
      <c r="A359">
        <v>32.9</v>
      </c>
      <c r="B359">
        <v>4</v>
      </c>
      <c r="C359">
        <v>119</v>
      </c>
      <c r="D359">
        <v>100</v>
      </c>
      <c r="E359">
        <v>2615</v>
      </c>
      <c r="F359">
        <v>14.8</v>
      </c>
      <c r="G359">
        <v>81</v>
      </c>
      <c r="H359" t="s">
        <v>24</v>
      </c>
      <c r="I359" t="s">
        <v>282</v>
      </c>
    </row>
    <row r="360" spans="1:9" x14ac:dyDescent="0.45">
      <c r="A360">
        <v>31.6</v>
      </c>
      <c r="B360">
        <v>4</v>
      </c>
      <c r="C360">
        <v>120</v>
      </c>
      <c r="D360">
        <v>74</v>
      </c>
      <c r="E360">
        <v>2635</v>
      </c>
      <c r="F360">
        <v>18.3</v>
      </c>
      <c r="G360">
        <v>81</v>
      </c>
      <c r="H360" t="s">
        <v>24</v>
      </c>
      <c r="I360" t="s">
        <v>253</v>
      </c>
    </row>
    <row r="361" spans="1:9" x14ac:dyDescent="0.45">
      <c r="A361">
        <v>28.1</v>
      </c>
      <c r="B361">
        <v>4</v>
      </c>
      <c r="C361">
        <v>141</v>
      </c>
      <c r="D361">
        <v>80</v>
      </c>
      <c r="E361">
        <v>3230</v>
      </c>
      <c r="F361">
        <v>20.399999999999999</v>
      </c>
      <c r="G361">
        <v>81</v>
      </c>
      <c r="H361" t="s">
        <v>30</v>
      </c>
      <c r="I361" t="s">
        <v>283</v>
      </c>
    </row>
    <row r="362" spans="1:9" x14ac:dyDescent="0.45">
      <c r="A362">
        <v>30.7</v>
      </c>
      <c r="B362">
        <v>6</v>
      </c>
      <c r="C362">
        <v>145</v>
      </c>
      <c r="D362">
        <v>76</v>
      </c>
      <c r="E362">
        <v>3160</v>
      </c>
      <c r="F362">
        <v>19.600000000000001</v>
      </c>
      <c r="G362">
        <v>81</v>
      </c>
      <c r="H362" t="s">
        <v>30</v>
      </c>
      <c r="I362" t="s">
        <v>284</v>
      </c>
    </row>
    <row r="363" spans="1:9" x14ac:dyDescent="0.45">
      <c r="A363">
        <v>25.4</v>
      </c>
      <c r="B363">
        <v>6</v>
      </c>
      <c r="C363">
        <v>168</v>
      </c>
      <c r="D363">
        <v>116</v>
      </c>
      <c r="E363">
        <v>2900</v>
      </c>
      <c r="F363">
        <v>12.6</v>
      </c>
      <c r="G363">
        <v>81</v>
      </c>
      <c r="H363" t="s">
        <v>24</v>
      </c>
      <c r="I363" t="s">
        <v>285</v>
      </c>
    </row>
    <row r="364" spans="1:9" x14ac:dyDescent="0.45">
      <c r="A364">
        <v>24.2</v>
      </c>
      <c r="B364">
        <v>6</v>
      </c>
      <c r="C364">
        <v>146</v>
      </c>
      <c r="D364">
        <v>120</v>
      </c>
      <c r="E364">
        <v>2930</v>
      </c>
      <c r="F364">
        <v>13.8</v>
      </c>
      <c r="G364">
        <v>81</v>
      </c>
      <c r="H364" t="s">
        <v>24</v>
      </c>
      <c r="I364" t="s">
        <v>286</v>
      </c>
    </row>
    <row r="365" spans="1:9" x14ac:dyDescent="0.45">
      <c r="A365">
        <v>22.4</v>
      </c>
      <c r="B365">
        <v>6</v>
      </c>
      <c r="C365">
        <v>231</v>
      </c>
      <c r="D365">
        <v>110</v>
      </c>
      <c r="E365">
        <v>3415</v>
      </c>
      <c r="F365">
        <v>15.8</v>
      </c>
      <c r="G365">
        <v>81</v>
      </c>
      <c r="H365" t="s">
        <v>9</v>
      </c>
      <c r="I365" t="s">
        <v>137</v>
      </c>
    </row>
    <row r="366" spans="1:9" x14ac:dyDescent="0.45">
      <c r="A366">
        <v>26.6</v>
      </c>
      <c r="B366">
        <v>8</v>
      </c>
      <c r="C366">
        <v>350</v>
      </c>
      <c r="D366">
        <v>105</v>
      </c>
      <c r="E366">
        <v>3725</v>
      </c>
      <c r="F366">
        <v>19</v>
      </c>
      <c r="G366">
        <v>81</v>
      </c>
      <c r="H366" t="s">
        <v>9</v>
      </c>
      <c r="I366" t="s">
        <v>287</v>
      </c>
    </row>
    <row r="367" spans="1:9" x14ac:dyDescent="0.45">
      <c r="A367">
        <v>20.2</v>
      </c>
      <c r="B367">
        <v>6</v>
      </c>
      <c r="C367">
        <v>200</v>
      </c>
      <c r="D367">
        <v>88</v>
      </c>
      <c r="E367">
        <v>3060</v>
      </c>
      <c r="F367">
        <v>17.100000000000001</v>
      </c>
      <c r="G367">
        <v>81</v>
      </c>
      <c r="H367" t="s">
        <v>9</v>
      </c>
      <c r="I367" t="s">
        <v>288</v>
      </c>
    </row>
    <row r="368" spans="1:9" x14ac:dyDescent="0.45">
      <c r="A368">
        <v>17.600000000000001</v>
      </c>
      <c r="B368">
        <v>6</v>
      </c>
      <c r="C368">
        <v>225</v>
      </c>
      <c r="D368">
        <v>85</v>
      </c>
      <c r="E368">
        <v>3465</v>
      </c>
      <c r="F368">
        <v>16.600000000000001</v>
      </c>
      <c r="G368">
        <v>81</v>
      </c>
      <c r="H368" t="s">
        <v>9</v>
      </c>
      <c r="I368" t="s">
        <v>289</v>
      </c>
    </row>
    <row r="369" spans="1:9" x14ac:dyDescent="0.45">
      <c r="A369">
        <v>28</v>
      </c>
      <c r="B369">
        <v>4</v>
      </c>
      <c r="C369">
        <v>112</v>
      </c>
      <c r="D369">
        <v>88</v>
      </c>
      <c r="E369">
        <v>2605</v>
      </c>
      <c r="F369">
        <v>19.600000000000001</v>
      </c>
      <c r="G369">
        <v>82</v>
      </c>
      <c r="H369" t="s">
        <v>9</v>
      </c>
      <c r="I369" t="s">
        <v>290</v>
      </c>
    </row>
    <row r="370" spans="1:9" x14ac:dyDescent="0.45">
      <c r="A370">
        <v>27</v>
      </c>
      <c r="B370">
        <v>4</v>
      </c>
      <c r="C370">
        <v>112</v>
      </c>
      <c r="D370">
        <v>88</v>
      </c>
      <c r="E370">
        <v>2640</v>
      </c>
      <c r="F370">
        <v>18.600000000000001</v>
      </c>
      <c r="G370">
        <v>82</v>
      </c>
      <c r="H370" t="s">
        <v>9</v>
      </c>
      <c r="I370" t="s">
        <v>291</v>
      </c>
    </row>
    <row r="371" spans="1:9" x14ac:dyDescent="0.45">
      <c r="A371">
        <v>34</v>
      </c>
      <c r="B371">
        <v>4</v>
      </c>
      <c r="C371">
        <v>112</v>
      </c>
      <c r="D371">
        <v>88</v>
      </c>
      <c r="E371">
        <v>2395</v>
      </c>
      <c r="F371">
        <v>18</v>
      </c>
      <c r="G371">
        <v>82</v>
      </c>
      <c r="H371" t="s">
        <v>9</v>
      </c>
      <c r="I371" t="s">
        <v>292</v>
      </c>
    </row>
    <row r="372" spans="1:9" x14ac:dyDescent="0.45">
      <c r="A372">
        <v>31</v>
      </c>
      <c r="B372">
        <v>4</v>
      </c>
      <c r="C372">
        <v>112</v>
      </c>
      <c r="D372">
        <v>85</v>
      </c>
      <c r="E372">
        <v>2575</v>
      </c>
      <c r="F372">
        <v>16.2</v>
      </c>
      <c r="G372">
        <v>82</v>
      </c>
      <c r="H372" t="s">
        <v>9</v>
      </c>
      <c r="I372" t="s">
        <v>293</v>
      </c>
    </row>
    <row r="373" spans="1:9" x14ac:dyDescent="0.45">
      <c r="A373">
        <v>29</v>
      </c>
      <c r="B373">
        <v>4</v>
      </c>
      <c r="C373">
        <v>135</v>
      </c>
      <c r="D373">
        <v>84</v>
      </c>
      <c r="E373">
        <v>2525</v>
      </c>
      <c r="F373">
        <v>16</v>
      </c>
      <c r="G373">
        <v>82</v>
      </c>
      <c r="H373" t="s">
        <v>9</v>
      </c>
      <c r="I373" t="s">
        <v>294</v>
      </c>
    </row>
    <row r="374" spans="1:9" x14ac:dyDescent="0.45">
      <c r="A374">
        <v>27</v>
      </c>
      <c r="B374">
        <v>4</v>
      </c>
      <c r="C374">
        <v>151</v>
      </c>
      <c r="D374">
        <v>90</v>
      </c>
      <c r="E374">
        <v>2735</v>
      </c>
      <c r="F374">
        <v>18</v>
      </c>
      <c r="G374">
        <v>82</v>
      </c>
      <c r="H374" t="s">
        <v>9</v>
      </c>
      <c r="I374" t="s">
        <v>247</v>
      </c>
    </row>
    <row r="375" spans="1:9" x14ac:dyDescent="0.45">
      <c r="A375">
        <v>24</v>
      </c>
      <c r="B375">
        <v>4</v>
      </c>
      <c r="C375">
        <v>140</v>
      </c>
      <c r="D375">
        <v>92</v>
      </c>
      <c r="E375">
        <v>2865</v>
      </c>
      <c r="F375">
        <v>16.399999999999999</v>
      </c>
      <c r="G375">
        <v>82</v>
      </c>
      <c r="H375" t="s">
        <v>9</v>
      </c>
      <c r="I375" t="s">
        <v>295</v>
      </c>
    </row>
    <row r="376" spans="1:9" x14ac:dyDescent="0.45">
      <c r="A376">
        <v>23</v>
      </c>
      <c r="B376">
        <v>4</v>
      </c>
      <c r="C376">
        <v>151</v>
      </c>
      <c r="E376">
        <v>3035</v>
      </c>
      <c r="F376">
        <v>20.5</v>
      </c>
      <c r="G376">
        <v>82</v>
      </c>
      <c r="H376" t="s">
        <v>9</v>
      </c>
      <c r="I376" t="s">
        <v>296</v>
      </c>
    </row>
    <row r="377" spans="1:9" x14ac:dyDescent="0.45">
      <c r="A377">
        <v>36</v>
      </c>
      <c r="B377">
        <v>4</v>
      </c>
      <c r="C377">
        <v>105</v>
      </c>
      <c r="D377">
        <v>74</v>
      </c>
      <c r="E377">
        <v>1980</v>
      </c>
      <c r="F377">
        <v>15.3</v>
      </c>
      <c r="G377">
        <v>82</v>
      </c>
      <c r="H377" t="s">
        <v>30</v>
      </c>
      <c r="I377" t="s">
        <v>297</v>
      </c>
    </row>
    <row r="378" spans="1:9" x14ac:dyDescent="0.45">
      <c r="A378">
        <v>37</v>
      </c>
      <c r="B378">
        <v>4</v>
      </c>
      <c r="C378">
        <v>91</v>
      </c>
      <c r="D378">
        <v>68</v>
      </c>
      <c r="E378">
        <v>2025</v>
      </c>
      <c r="F378">
        <v>18.2</v>
      </c>
      <c r="G378">
        <v>82</v>
      </c>
      <c r="H378" t="s">
        <v>24</v>
      </c>
      <c r="I378" t="s">
        <v>298</v>
      </c>
    </row>
    <row r="379" spans="1:9" x14ac:dyDescent="0.45">
      <c r="A379">
        <v>31</v>
      </c>
      <c r="B379">
        <v>4</v>
      </c>
      <c r="C379">
        <v>91</v>
      </c>
      <c r="D379">
        <v>68</v>
      </c>
      <c r="E379">
        <v>1970</v>
      </c>
      <c r="F379">
        <v>17.600000000000001</v>
      </c>
      <c r="G379">
        <v>82</v>
      </c>
      <c r="H379" t="s">
        <v>24</v>
      </c>
      <c r="I379" t="s">
        <v>299</v>
      </c>
    </row>
    <row r="380" spans="1:9" x14ac:dyDescent="0.45">
      <c r="A380">
        <v>38</v>
      </c>
      <c r="B380">
        <v>4</v>
      </c>
      <c r="C380">
        <v>105</v>
      </c>
      <c r="D380">
        <v>63</v>
      </c>
      <c r="E380">
        <v>2125</v>
      </c>
      <c r="F380">
        <v>14.7</v>
      </c>
      <c r="G380">
        <v>82</v>
      </c>
      <c r="H380" t="s">
        <v>9</v>
      </c>
      <c r="I380" t="s">
        <v>300</v>
      </c>
    </row>
    <row r="381" spans="1:9" x14ac:dyDescent="0.45">
      <c r="A381">
        <v>36</v>
      </c>
      <c r="B381">
        <v>4</v>
      </c>
      <c r="C381">
        <v>98</v>
      </c>
      <c r="D381">
        <v>70</v>
      </c>
      <c r="E381">
        <v>2125</v>
      </c>
      <c r="F381">
        <v>17.3</v>
      </c>
      <c r="G381">
        <v>82</v>
      </c>
      <c r="H381" t="s">
        <v>9</v>
      </c>
      <c r="I381" t="s">
        <v>301</v>
      </c>
    </row>
    <row r="382" spans="1:9" x14ac:dyDescent="0.45">
      <c r="A382">
        <v>36</v>
      </c>
      <c r="B382">
        <v>4</v>
      </c>
      <c r="C382">
        <v>120</v>
      </c>
      <c r="D382">
        <v>88</v>
      </c>
      <c r="E382">
        <v>2160</v>
      </c>
      <c r="F382">
        <v>14.5</v>
      </c>
      <c r="G382">
        <v>82</v>
      </c>
      <c r="H382" t="s">
        <v>24</v>
      </c>
      <c r="I382" t="s">
        <v>302</v>
      </c>
    </row>
    <row r="383" spans="1:9" x14ac:dyDescent="0.45">
      <c r="A383">
        <v>36</v>
      </c>
      <c r="B383">
        <v>4</v>
      </c>
      <c r="C383">
        <v>107</v>
      </c>
      <c r="D383">
        <v>75</v>
      </c>
      <c r="E383">
        <v>2205</v>
      </c>
      <c r="F383">
        <v>14.5</v>
      </c>
      <c r="G383">
        <v>82</v>
      </c>
      <c r="H383" t="s">
        <v>24</v>
      </c>
      <c r="I383" t="s">
        <v>267</v>
      </c>
    </row>
    <row r="384" spans="1:9" x14ac:dyDescent="0.45">
      <c r="A384">
        <v>34</v>
      </c>
      <c r="B384">
        <v>4</v>
      </c>
      <c r="C384">
        <v>108</v>
      </c>
      <c r="D384">
        <v>70</v>
      </c>
      <c r="E384">
        <v>2245</v>
      </c>
      <c r="F384">
        <v>16.899999999999999</v>
      </c>
      <c r="G384">
        <v>82</v>
      </c>
      <c r="H384" t="s">
        <v>24</v>
      </c>
      <c r="I384" t="s">
        <v>143</v>
      </c>
    </row>
    <row r="385" spans="1:9" x14ac:dyDescent="0.45">
      <c r="A385">
        <v>38</v>
      </c>
      <c r="B385">
        <v>4</v>
      </c>
      <c r="C385">
        <v>91</v>
      </c>
      <c r="D385">
        <v>67</v>
      </c>
      <c r="E385">
        <v>1965</v>
      </c>
      <c r="F385">
        <v>15</v>
      </c>
      <c r="G385">
        <v>82</v>
      </c>
      <c r="H385" t="s">
        <v>24</v>
      </c>
      <c r="I385" t="s">
        <v>130</v>
      </c>
    </row>
    <row r="386" spans="1:9" x14ac:dyDescent="0.45">
      <c r="A386">
        <v>32</v>
      </c>
      <c r="B386">
        <v>4</v>
      </c>
      <c r="C386">
        <v>91</v>
      </c>
      <c r="D386">
        <v>67</v>
      </c>
      <c r="E386">
        <v>1965</v>
      </c>
      <c r="F386">
        <v>15.7</v>
      </c>
      <c r="G386">
        <v>82</v>
      </c>
      <c r="H386" t="s">
        <v>24</v>
      </c>
      <c r="I386" t="s">
        <v>303</v>
      </c>
    </row>
    <row r="387" spans="1:9" x14ac:dyDescent="0.45">
      <c r="A387">
        <v>38</v>
      </c>
      <c r="B387">
        <v>4</v>
      </c>
      <c r="C387">
        <v>91</v>
      </c>
      <c r="D387">
        <v>67</v>
      </c>
      <c r="E387">
        <v>1995</v>
      </c>
      <c r="F387">
        <v>16.2</v>
      </c>
      <c r="G387">
        <v>82</v>
      </c>
      <c r="H387" t="s">
        <v>24</v>
      </c>
      <c r="I387" t="s">
        <v>304</v>
      </c>
    </row>
    <row r="388" spans="1:9" x14ac:dyDescent="0.45">
      <c r="A388">
        <v>25</v>
      </c>
      <c r="B388">
        <v>6</v>
      </c>
      <c r="C388">
        <v>181</v>
      </c>
      <c r="D388">
        <v>110</v>
      </c>
      <c r="E388">
        <v>2945</v>
      </c>
      <c r="F388">
        <v>16.399999999999999</v>
      </c>
      <c r="G388">
        <v>82</v>
      </c>
      <c r="H388" t="s">
        <v>9</v>
      </c>
      <c r="I388" t="s">
        <v>305</v>
      </c>
    </row>
    <row r="389" spans="1:9" x14ac:dyDescent="0.45">
      <c r="A389">
        <v>38</v>
      </c>
      <c r="B389">
        <v>6</v>
      </c>
      <c r="C389">
        <v>262</v>
      </c>
      <c r="D389">
        <v>85</v>
      </c>
      <c r="E389">
        <v>3015</v>
      </c>
      <c r="F389">
        <v>17</v>
      </c>
      <c r="G389">
        <v>82</v>
      </c>
      <c r="H389" t="s">
        <v>9</v>
      </c>
      <c r="I389" t="s">
        <v>306</v>
      </c>
    </row>
    <row r="390" spans="1:9" x14ac:dyDescent="0.45">
      <c r="A390">
        <v>26</v>
      </c>
      <c r="B390">
        <v>4</v>
      </c>
      <c r="C390">
        <v>156</v>
      </c>
      <c r="D390">
        <v>92</v>
      </c>
      <c r="E390">
        <v>2585</v>
      </c>
      <c r="F390">
        <v>14.5</v>
      </c>
      <c r="G390">
        <v>82</v>
      </c>
      <c r="H390" t="s">
        <v>9</v>
      </c>
      <c r="I390" t="s">
        <v>307</v>
      </c>
    </row>
    <row r="391" spans="1:9" x14ac:dyDescent="0.45">
      <c r="A391">
        <v>22</v>
      </c>
      <c r="B391">
        <v>6</v>
      </c>
      <c r="C391">
        <v>232</v>
      </c>
      <c r="D391">
        <v>112</v>
      </c>
      <c r="E391">
        <v>2835</v>
      </c>
      <c r="F391">
        <v>14.7</v>
      </c>
      <c r="G391">
        <v>82</v>
      </c>
      <c r="H391" t="s">
        <v>9</v>
      </c>
      <c r="I391" t="s">
        <v>308</v>
      </c>
    </row>
    <row r="392" spans="1:9" x14ac:dyDescent="0.45">
      <c r="A392">
        <v>32</v>
      </c>
      <c r="B392">
        <v>4</v>
      </c>
      <c r="C392">
        <v>144</v>
      </c>
      <c r="D392">
        <v>96</v>
      </c>
      <c r="E392">
        <v>2665</v>
      </c>
      <c r="F392">
        <v>13.9</v>
      </c>
      <c r="G392">
        <v>82</v>
      </c>
      <c r="H392" t="s">
        <v>24</v>
      </c>
      <c r="I392" t="s">
        <v>309</v>
      </c>
    </row>
    <row r="393" spans="1:9" x14ac:dyDescent="0.45">
      <c r="A393">
        <v>36</v>
      </c>
      <c r="B393">
        <v>4</v>
      </c>
      <c r="C393">
        <v>135</v>
      </c>
      <c r="D393">
        <v>84</v>
      </c>
      <c r="E393">
        <v>2370</v>
      </c>
      <c r="F393">
        <v>13</v>
      </c>
      <c r="G393">
        <v>82</v>
      </c>
      <c r="H393" t="s">
        <v>9</v>
      </c>
      <c r="I393" t="s">
        <v>310</v>
      </c>
    </row>
    <row r="394" spans="1:9" x14ac:dyDescent="0.45">
      <c r="A394">
        <v>27</v>
      </c>
      <c r="B394">
        <v>4</v>
      </c>
      <c r="C394">
        <v>151</v>
      </c>
      <c r="D394">
        <v>90</v>
      </c>
      <c r="E394">
        <v>2950</v>
      </c>
      <c r="F394">
        <v>17.3</v>
      </c>
      <c r="G394">
        <v>82</v>
      </c>
      <c r="H394" t="s">
        <v>9</v>
      </c>
      <c r="I394" t="s">
        <v>311</v>
      </c>
    </row>
    <row r="395" spans="1:9" x14ac:dyDescent="0.45">
      <c r="A395">
        <v>27</v>
      </c>
      <c r="B395">
        <v>4</v>
      </c>
      <c r="C395">
        <v>140</v>
      </c>
      <c r="D395">
        <v>86</v>
      </c>
      <c r="E395">
        <v>2790</v>
      </c>
      <c r="F395">
        <v>15.6</v>
      </c>
      <c r="G395">
        <v>82</v>
      </c>
      <c r="H395" t="s">
        <v>9</v>
      </c>
      <c r="I395" t="s">
        <v>312</v>
      </c>
    </row>
    <row r="396" spans="1:9" x14ac:dyDescent="0.45">
      <c r="A396">
        <v>44</v>
      </c>
      <c r="B396">
        <v>4</v>
      </c>
      <c r="C396">
        <v>97</v>
      </c>
      <c r="D396">
        <v>52</v>
      </c>
      <c r="E396">
        <v>2130</v>
      </c>
      <c r="F396">
        <v>24.6</v>
      </c>
      <c r="G396">
        <v>82</v>
      </c>
      <c r="H396" t="s">
        <v>30</v>
      </c>
      <c r="I396" t="s">
        <v>313</v>
      </c>
    </row>
    <row r="397" spans="1:9" x14ac:dyDescent="0.45">
      <c r="A397">
        <v>32</v>
      </c>
      <c r="B397">
        <v>4</v>
      </c>
      <c r="C397">
        <v>135</v>
      </c>
      <c r="D397">
        <v>84</v>
      </c>
      <c r="E397">
        <v>2295</v>
      </c>
      <c r="F397">
        <v>11.6</v>
      </c>
      <c r="G397">
        <v>82</v>
      </c>
      <c r="H397" t="s">
        <v>9</v>
      </c>
      <c r="I397" t="s">
        <v>314</v>
      </c>
    </row>
    <row r="398" spans="1:9" x14ac:dyDescent="0.45">
      <c r="A398">
        <v>28</v>
      </c>
      <c r="B398">
        <v>4</v>
      </c>
      <c r="C398">
        <v>120</v>
      </c>
      <c r="D398">
        <v>79</v>
      </c>
      <c r="E398">
        <v>2625</v>
      </c>
      <c r="F398">
        <v>18.600000000000001</v>
      </c>
      <c r="G398">
        <v>82</v>
      </c>
      <c r="H398" t="s">
        <v>9</v>
      </c>
      <c r="I398" t="s">
        <v>315</v>
      </c>
    </row>
    <row r="399" spans="1:9" x14ac:dyDescent="0.45">
      <c r="A399">
        <v>31</v>
      </c>
      <c r="B399">
        <v>4</v>
      </c>
      <c r="C399">
        <v>119</v>
      </c>
      <c r="D399">
        <v>82</v>
      </c>
      <c r="E399">
        <v>2720</v>
      </c>
      <c r="F399">
        <v>19.399999999999999</v>
      </c>
      <c r="G399">
        <v>82</v>
      </c>
      <c r="H399" t="s">
        <v>9</v>
      </c>
      <c r="I399" t="s">
        <v>316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BA3DC-CC7A-4BBE-90C7-63E4659EAB5B}">
  <dimension ref="A1:I79"/>
  <sheetViews>
    <sheetView topLeftCell="A80" workbookViewId="0">
      <selection activeCell="E1" sqref="E1"/>
    </sheetView>
  </sheetViews>
  <sheetFormatPr defaultColWidth="11.73046875" defaultRowHeight="14.25" x14ac:dyDescent="0.45"/>
  <sheetData>
    <row r="1" spans="1:9" x14ac:dyDescent="0.45">
      <c r="A1" t="str" cm="1">
        <f t="array" ref="A1:I5">_xlfn._xlws.PY(1,0)</f>
        <v/>
      </c>
      <c r="B1" t="str">
        <v>count</v>
      </c>
      <c r="C1" s="1" t="str">
        <v>mean</v>
      </c>
      <c r="D1" s="1" t="str">
        <v>std</v>
      </c>
      <c r="E1" s="1" t="str">
        <v>min</v>
      </c>
      <c r="F1" s="1" t="str">
        <v>25%</v>
      </c>
      <c r="G1" s="1" t="str">
        <v>50%</v>
      </c>
      <c r="H1" s="1" t="str">
        <v>75%</v>
      </c>
      <c r="I1" s="1" t="str">
        <v>max</v>
      </c>
    </row>
    <row r="2" spans="1:9" x14ac:dyDescent="0.45">
      <c r="A2" t="str">
        <v>origin</v>
      </c>
      <c r="B2" t="str">
        <v/>
      </c>
      <c r="C2" s="1" t="str">
        <v/>
      </c>
      <c r="D2" s="1" t="str">
        <v/>
      </c>
      <c r="E2" s="1" t="str">
        <v/>
      </c>
      <c r="F2" s="1" t="str">
        <v/>
      </c>
      <c r="G2" s="1" t="str">
        <v/>
      </c>
      <c r="H2" s="1" t="str">
        <v/>
      </c>
      <c r="I2" s="1" t="str">
        <v/>
      </c>
    </row>
    <row r="3" spans="1:9" x14ac:dyDescent="0.45">
      <c r="A3" t="str">
        <v>europe</v>
      </c>
      <c r="B3">
        <v>70</v>
      </c>
      <c r="C3" s="1">
        <v>27.89142857142857</v>
      </c>
      <c r="D3" s="1">
        <v>6.7239296407431706</v>
      </c>
      <c r="E3" s="1">
        <v>16.2</v>
      </c>
      <c r="F3" s="1">
        <v>24</v>
      </c>
      <c r="G3" s="1">
        <v>26.5</v>
      </c>
      <c r="H3" s="1">
        <v>30.65</v>
      </c>
      <c r="I3" s="1">
        <v>44.3</v>
      </c>
    </row>
    <row r="4" spans="1:9" x14ac:dyDescent="0.45">
      <c r="A4" t="str">
        <v>japan</v>
      </c>
      <c r="B4">
        <v>79</v>
      </c>
      <c r="C4" s="1">
        <v>30.450632911392404</v>
      </c>
      <c r="D4" s="1">
        <v>6.0900480697383239</v>
      </c>
      <c r="E4" s="1">
        <v>18</v>
      </c>
      <c r="F4" s="1">
        <v>25.7</v>
      </c>
      <c r="G4" s="1">
        <v>31.6</v>
      </c>
      <c r="H4" s="1">
        <v>34.049999999999997</v>
      </c>
      <c r="I4" s="1">
        <v>46.6</v>
      </c>
    </row>
    <row r="5" spans="1:9" x14ac:dyDescent="0.45">
      <c r="A5" t="str">
        <v>usa</v>
      </c>
      <c r="B5">
        <v>249</v>
      </c>
      <c r="C5" s="1">
        <v>20.083534136546184</v>
      </c>
      <c r="D5" s="1">
        <v>6.4028920160496918</v>
      </c>
      <c r="E5" s="1">
        <v>9</v>
      </c>
      <c r="F5" s="1">
        <v>15</v>
      </c>
      <c r="G5" s="1">
        <v>18.5</v>
      </c>
      <c r="H5" s="1">
        <v>24</v>
      </c>
      <c r="I5" s="1">
        <v>39</v>
      </c>
    </row>
    <row r="6" spans="1:9" x14ac:dyDescent="0.45">
      <c r="C6" s="1"/>
      <c r="D6" s="1"/>
      <c r="E6" s="1"/>
      <c r="F6" s="1"/>
      <c r="G6" s="1"/>
      <c r="H6" s="1"/>
      <c r="I6" s="1"/>
    </row>
    <row r="8" spans="1:9" x14ac:dyDescent="0.45">
      <c r="A8" t="str" cm="1">
        <f t="array" ref="A8:E9">_xlfn._xlws.PY(2,0)</f>
        <v>Test statistic</v>
      </c>
      <c r="B8" t="str">
        <v>p-value</v>
      </c>
      <c r="C8" t="str">
        <v>Japan mean</v>
      </c>
      <c r="D8" t="str">
        <v>Europe mean</v>
      </c>
      <c r="E8" t="str">
        <v>Difference</v>
      </c>
    </row>
    <row r="9" spans="1:9" x14ac:dyDescent="0.45">
      <c r="A9">
        <v>2.4378000000000002</v>
      </c>
      <c r="B9">
        <v>1.6E-2</v>
      </c>
      <c r="C9">
        <v>30.45</v>
      </c>
      <c r="D9">
        <v>27.89</v>
      </c>
      <c r="E9">
        <v>2.56</v>
      </c>
    </row>
    <row r="12" spans="1:9" x14ac:dyDescent="0.45">
      <c r="A12" t="str" cm="1">
        <f t="array" ref="A12">_xlfn._xlws.PY(3,0)</f>
        <v>Cohen's d (effect size): 0.4002</v>
      </c>
    </row>
    <row r="14" spans="1:9" x14ac:dyDescent="0.45">
      <c r="A14" t="str" cm="1">
        <f t="array" ref="A14:E15">_xlfn._xlws.PY(4,0)</f>
        <v>F-statistic</v>
      </c>
      <c r="B14" t="str">
        <v>p-value</v>
      </c>
      <c r="C14" t="str">
        <v>USA mean</v>
      </c>
      <c r="D14" t="str">
        <v>Europe mean</v>
      </c>
      <c r="E14" t="str">
        <v>Japan mean</v>
      </c>
    </row>
    <row r="15" spans="1:9" x14ac:dyDescent="0.45">
      <c r="A15">
        <v>98.54</v>
      </c>
      <c r="B15" t="str">
        <v>0.0</v>
      </c>
      <c r="C15">
        <v>20.079999999999998</v>
      </c>
      <c r="D15">
        <v>27.89</v>
      </c>
      <c r="E15">
        <v>30.45</v>
      </c>
    </row>
    <row r="17" spans="1:7" x14ac:dyDescent="0.45">
      <c r="A17" t="str" cm="1">
        <f t="array" ref="A17:G20">_xlfn._xlws.PY(5,0)</f>
        <v>group1</v>
      </c>
      <c r="B17" t="str">
        <v>group2</v>
      </c>
      <c r="C17" t="str">
        <v>meandiff</v>
      </c>
      <c r="D17" t="str">
        <v>p-adj</v>
      </c>
      <c r="E17" t="str">
        <v>lower</v>
      </c>
      <c r="F17" t="str">
        <v>upper</v>
      </c>
      <c r="G17" t="str">
        <v>reject</v>
      </c>
    </row>
    <row r="18" spans="1:7" x14ac:dyDescent="0.45">
      <c r="A18" t="str">
        <v>europe</v>
      </c>
      <c r="B18" t="str">
        <v>japan</v>
      </c>
      <c r="C18">
        <v>2.5592000000000001</v>
      </c>
      <c r="D18">
        <v>4.0399999999999998E-2</v>
      </c>
      <c r="E18">
        <v>8.77E-2</v>
      </c>
      <c r="F18">
        <v>5.0307000000000004</v>
      </c>
      <c r="G18" t="b">
        <v>1</v>
      </c>
    </row>
    <row r="19" spans="1:7" x14ac:dyDescent="0.45">
      <c r="A19" t="str">
        <v>europe</v>
      </c>
      <c r="B19" t="str">
        <v>usa</v>
      </c>
      <c r="C19">
        <v>-7.8079000000000001</v>
      </c>
      <c r="D19">
        <v>0</v>
      </c>
      <c r="E19">
        <v>-9.8447999999999993</v>
      </c>
      <c r="F19">
        <v>-5.7709999999999999</v>
      </c>
      <c r="G19" t="b">
        <v>1</v>
      </c>
    </row>
    <row r="20" spans="1:7" x14ac:dyDescent="0.45">
      <c r="A20" t="str">
        <v>japan</v>
      </c>
      <c r="B20" t="str">
        <v>usa</v>
      </c>
      <c r="C20">
        <v>-10.367100000000001</v>
      </c>
      <c r="D20">
        <v>0</v>
      </c>
      <c r="E20">
        <v>-12.311400000000001</v>
      </c>
      <c r="F20">
        <v>-8.4228000000000005</v>
      </c>
      <c r="G20" t="b">
        <v>1</v>
      </c>
    </row>
    <row r="23" spans="1:7" x14ac:dyDescent="0.45">
      <c r="A23" t="str" cm="1">
        <f t="array" ref="A23:D32">_xlfn._xlws.PY(6,0)</f>
        <v>origin</v>
      </c>
      <c r="B23" t="str">
        <v>cylinders</v>
      </c>
      <c r="C23" t="str">
        <v>engine_size</v>
      </c>
      <c r="D23" t="str">
        <v>count</v>
      </c>
    </row>
    <row r="24" spans="1:7" x14ac:dyDescent="0.45">
      <c r="A24" t="str">
        <v>usa</v>
      </c>
      <c r="B24">
        <v>8</v>
      </c>
      <c r="C24" t="str">
        <v>Large (8)</v>
      </c>
      <c r="D24">
        <v>103</v>
      </c>
    </row>
    <row r="25" spans="1:7" x14ac:dyDescent="0.45">
      <c r="A25" t="str">
        <v>usa</v>
      </c>
      <c r="B25">
        <v>6</v>
      </c>
      <c r="C25" t="str">
        <v>Medium (5-6)</v>
      </c>
      <c r="D25">
        <v>74</v>
      </c>
    </row>
    <row r="26" spans="1:7" x14ac:dyDescent="0.45">
      <c r="A26" t="str">
        <v>usa</v>
      </c>
      <c r="B26">
        <v>4</v>
      </c>
      <c r="C26" t="str">
        <v>Small (3-4)</v>
      </c>
      <c r="D26">
        <v>72</v>
      </c>
    </row>
    <row r="27" spans="1:7" x14ac:dyDescent="0.45">
      <c r="A27" t="str">
        <v>japan</v>
      </c>
      <c r="B27">
        <v>4</v>
      </c>
      <c r="C27" t="str">
        <v>Small (3-4)</v>
      </c>
      <c r="D27">
        <v>69</v>
      </c>
    </row>
    <row r="28" spans="1:7" x14ac:dyDescent="0.45">
      <c r="A28" t="str">
        <v>europe</v>
      </c>
      <c r="B28">
        <v>4</v>
      </c>
      <c r="C28" t="str">
        <v>Small (3-4)</v>
      </c>
      <c r="D28">
        <v>63</v>
      </c>
    </row>
    <row r="29" spans="1:7" x14ac:dyDescent="0.45">
      <c r="A29" t="str">
        <v>japan</v>
      </c>
      <c r="B29">
        <v>6</v>
      </c>
      <c r="C29" t="str">
        <v>Medium (5-6)</v>
      </c>
      <c r="D29">
        <v>6</v>
      </c>
    </row>
    <row r="30" spans="1:7" x14ac:dyDescent="0.45">
      <c r="A30" t="str">
        <v>europe</v>
      </c>
      <c r="B30">
        <v>6</v>
      </c>
      <c r="C30" t="str">
        <v>Medium (5-6)</v>
      </c>
      <c r="D30">
        <v>4</v>
      </c>
    </row>
    <row r="31" spans="1:7" x14ac:dyDescent="0.45">
      <c r="A31" t="str">
        <v>japan</v>
      </c>
      <c r="B31">
        <v>3</v>
      </c>
      <c r="C31" t="str">
        <v>Small (3-4)</v>
      </c>
      <c r="D31">
        <v>4</v>
      </c>
    </row>
    <row r="32" spans="1:7" x14ac:dyDescent="0.45">
      <c r="A32" t="str">
        <v>europe</v>
      </c>
      <c r="B32">
        <v>5</v>
      </c>
      <c r="C32" t="str">
        <v>Medium (5-6)</v>
      </c>
      <c r="D32">
        <v>3</v>
      </c>
    </row>
    <row r="34" spans="1:4" x14ac:dyDescent="0.45">
      <c r="A34" t="str" cm="1">
        <f t="array" ref="A34:D38">_xlfn._xlws.PY(7,0)</f>
        <v>engine_size</v>
      </c>
      <c r="B34" t="str">
        <v>Small (3-4)</v>
      </c>
      <c r="C34" t="str">
        <v>Medium (5-6)</v>
      </c>
      <c r="D34" t="str">
        <v>Large (8)</v>
      </c>
    </row>
    <row r="35" spans="1:4" x14ac:dyDescent="0.45">
      <c r="A35" t="str">
        <v>origin</v>
      </c>
      <c r="B35" t="str">
        <v/>
      </c>
      <c r="C35" t="str">
        <v/>
      </c>
      <c r="D35" t="str">
        <v/>
      </c>
    </row>
    <row r="36" spans="1:4" x14ac:dyDescent="0.45">
      <c r="A36" t="str">
        <v>europe</v>
      </c>
      <c r="B36">
        <v>63</v>
      </c>
      <c r="C36">
        <v>7</v>
      </c>
      <c r="D36">
        <v>0</v>
      </c>
    </row>
    <row r="37" spans="1:4" x14ac:dyDescent="0.45">
      <c r="A37" t="str">
        <v>japan</v>
      </c>
      <c r="B37">
        <v>73</v>
      </c>
      <c r="C37">
        <v>6</v>
      </c>
      <c r="D37">
        <v>0</v>
      </c>
    </row>
    <row r="38" spans="1:4" x14ac:dyDescent="0.45">
      <c r="A38" t="str">
        <v>usa</v>
      </c>
      <c r="B38">
        <v>72</v>
      </c>
      <c r="C38">
        <v>74</v>
      </c>
      <c r="D38">
        <v>103</v>
      </c>
    </row>
    <row r="42" spans="1:4" x14ac:dyDescent="0.45">
      <c r="A42" t="str" cm="1">
        <f t="array" ref="A42:C43">_xlfn._xlws.PY(8,0)</f>
        <v>Chi-square statistic</v>
      </c>
      <c r="B42" t="str">
        <v>p-value</v>
      </c>
      <c r="C42" t="str">
        <v>Degrees of freedom</v>
      </c>
    </row>
    <row r="43" spans="1:4" x14ac:dyDescent="0.45">
      <c r="A43">
        <v>149.93</v>
      </c>
      <c r="B43" t="str">
        <v>0.0</v>
      </c>
      <c r="C43">
        <v>4</v>
      </c>
    </row>
    <row r="47" spans="1:4" x14ac:dyDescent="0.45">
      <c r="A47" t="str" cm="1">
        <f t="array" ref="A47">_xlfn._xlws.PY(9,0)</f>
        <v>Cramér's V: 0.43</v>
      </c>
    </row>
    <row r="51" spans="1:4" x14ac:dyDescent="0.45">
      <c r="A51" cm="1" vm="2">
        <f t="array" ref="A51">_xlfn._xlws.PY(10,1)</f>
        <v>0</v>
      </c>
    </row>
    <row r="53" spans="1:4" x14ac:dyDescent="0.45">
      <c r="A53" t="str" cm="1">
        <f t="array" ref="A53:D54">_xlfn._xlws.PY(11,0)</f>
        <v>Original mean</v>
      </c>
      <c r="B53" t="str">
        <v>95% CI lower</v>
      </c>
      <c r="C53" t="str">
        <v>95% CI upper</v>
      </c>
      <c r="D53" t="str">
        <v>CI width</v>
      </c>
    </row>
    <row r="54" spans="1:4" x14ac:dyDescent="0.45">
      <c r="A54">
        <v>30.45</v>
      </c>
      <c r="B54">
        <v>29.08</v>
      </c>
      <c r="C54">
        <v>31.94</v>
      </c>
      <c r="D54">
        <v>2.86</v>
      </c>
    </row>
    <row r="57" spans="1:4" x14ac:dyDescent="0.45">
      <c r="A57" t="e" cm="1" vm="3">
        <f t="array" ref="A57">_xlfn._xlws.PY(12,0)</f>
        <v>#VALUE!</v>
      </c>
    </row>
    <row r="68" spans="1:4" ht="123.4" customHeight="1" x14ac:dyDescent="0.45"/>
    <row r="71" spans="1:4" x14ac:dyDescent="0.45">
      <c r="A71" t="str" cm="1">
        <f t="array" ref="A71:D73">_xlfn._xlws.PY(13,0)</f>
        <v>Group</v>
      </c>
      <c r="B71" t="str">
        <v>Mean</v>
      </c>
      <c r="C71" t="str">
        <v>CI Lower (2.5%)</v>
      </c>
      <c r="D71" t="str">
        <v>CI Upper (97.5%)</v>
      </c>
    </row>
    <row r="72" spans="1:4" x14ac:dyDescent="0.45">
      <c r="A72" t="str">
        <v>Japan</v>
      </c>
      <c r="B72" s="1">
        <v>30.450632911392404</v>
      </c>
      <c r="C72" s="1">
        <v>29.232120253164553</v>
      </c>
      <c r="D72" s="1">
        <v>31.810158227848103</v>
      </c>
    </row>
    <row r="73" spans="1:4" x14ac:dyDescent="0.45">
      <c r="A73" t="str">
        <v>Europe</v>
      </c>
      <c r="B73" s="1">
        <v>27.89142857142857</v>
      </c>
      <c r="C73" s="1">
        <v>26.298464285714289</v>
      </c>
      <c r="D73" s="1">
        <v>29.408678571428577</v>
      </c>
    </row>
    <row r="79" spans="1:4" x14ac:dyDescent="0.45">
      <c r="A79" t="e" cm="1" vm="4">
        <f t="array" ref="A79">_xlfn._xlws.PY(14,0)</f>
        <v>#VALUE!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2026-04-02T21:02:49Z</dcterms:created>
  <dcterms:modified xsi:type="dcterms:W3CDTF">2026-10-20T01:27:17Z</dcterms:modified>
</cp:coreProperties>
</file>