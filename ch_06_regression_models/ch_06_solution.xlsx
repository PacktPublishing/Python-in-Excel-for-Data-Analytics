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2"/>
  <workbookPr/>
  <mc:AlternateContent xmlns:mc="http://schemas.openxmlformats.org/markup-compatibility/2006">
    <mc:Choice Requires="x15">
      <x15ac:absPath xmlns:x15ac="http://schemas.microsoft.com/office/spreadsheetml/2010/11/ac" url="C:\Users\georg\Documents\GitHub\Python-in-Excel-for-Data-Analytics\ch_06_regression_models\"/>
    </mc:Choice>
  </mc:AlternateContent>
  <xr:revisionPtr revIDLastSave="0" documentId="13_ncr:1_{ECAF74B1-CA92-447B-9719-5EC6484BBDF1}" xr6:coauthVersionLast="47" xr6:coauthVersionMax="47" xr10:uidLastSave="{00000000-0000-0000-0000-000000000000}"/>
  <bookViews>
    <workbookView xWindow="-93" yWindow="-93" windowWidth="16826" windowHeight="11280" activeTab="1" xr2:uid="{00000000-000D-0000-FFFF-FFFF00000000}"/>
  </bookViews>
  <sheets>
    <sheet name="data" sheetId="1" r:id="rId1"/>
    <sheet name="regress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" i="1" l="1" a="1"/>
  <c r="A1" i="2" l="1" a="1"/>
  <c r="A8" i="2" s="1" a="1"/>
  <c r="A23" i="2" l="1" a="1"/>
  <c r="A31" i="2" s="1" a="1"/>
  <c r="A36" i="2" s="1" a="1"/>
  <c r="A45" i="2" s="1" a="1"/>
  <c r="A52" i="2" s="1" a="1"/>
  <c r="A63" i="2" s="1" a="1"/>
  <c r="A66" i="2" l="1" a="1"/>
  <c r="A71" i="2" l="1" a="1"/>
  <c r="A76" i="2" l="1" a="1"/>
  <c r="A81" i="2" l="1" a="1"/>
  <c r="A84" i="2" s="1" a="1"/>
  <c r="A88" i="2" l="1" a="1"/>
  <c r="A91" i="2" s="1" a="1"/>
  <c r="A94" i="2" s="1" a="1"/>
  <c r="A97" i="2" l="1" a="1"/>
  <c r="A101" i="2" s="1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6"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</futureMetadata>
  <cellMetadata count="1">
    <bk>
      <rc t="1" v="0"/>
    </bk>
  </cellMetadata>
  <valueMetadata count="6">
    <bk>
      <rc t="2" v="0"/>
    </bk>
    <bk>
      <rc t="2" v="1"/>
    </bk>
    <bk>
      <rc t="2" v="2"/>
    </bk>
    <bk>
      <rc t="2" v="3"/>
    </bk>
    <bk>
      <rc t="2" v="4"/>
    </bk>
    <bk>
      <rc t="2" v="5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penguins_df = xl(%P2%, headers=True)</code>
    </pythonScript>
    <pythonScript>
      <code>import statsmodels.api as sm
penguins_df = xl(%P2%, headers=True)
penguins_df = penguins_df.dropna()
penguins_df.head()</code>
    </pythonScript>
    <pythonScript>
      <code>plt.figure(figsize=(8, 5))
sns.regplot(x="body_mass_g", y="flipper_length_mm", data=penguins_df,
            scatter_kws={"alpha": 0.5})
plt.title("Flipper Length vs. Body Mass")
plt.xlabel("Body Mass (g)")
plt.ylabel("Flipper Length (mm)")</code>
    </pythonScript>
    <pythonScript>
      <code># Define the predictor and outcome
X = penguins_df[["body_mass_g"]]
y = penguins_df["flipper_length_mm"]
# Add a constant (intercept) to the predictor
X = sm.add_constant(X)
X.head()</code>
    </pythonScript>
    <pythonScript>
      <code># Fit the model
model = sm.OLS(y, X).fit()
results_df = model.summary2().tables[1]
results_df</code>
    </pythonScript>
    <pythonScript>
      <code># Fit the model
results_df_2 = model.summary2().tables[0]</code>
    </pythonScript>
    <pythonScript>
      <code># Multiple predictors
X_multi = penguins_df[["body_mass_g", "bill_length_mm", "bill_depth_mm"]]
y = penguins_df["flipper_length_mm"]
X_multi = sm.add_constant(X_multi)
model_multi = sm.OLS(y, X_multi).fit()
results_multi_df = model_multi.summary2().tables[1]
results_multi_df</code>
    </pythonScript>
    <pythonScript>
      <code>results_multi_df_2 = model_multi.summary2().tables[0]</code>
    </pythonScript>
    <pythonScript>
      <code xml:space="preserve"># Predict flipper length for a hypothetical penguin 
new_penguin = pd.DataFrame({ 
     "const": [1], 
     "body_mass_g": [4200], 
     "bill_length_mm": [45], 
     "bill_depth_mm": [15] 
}) 
predicted = model_multi.predict(new_penguin) 
f"Predicted flipper length: {round(predicted[0], 1)} mm" </code>
    </pythonScript>
    <pythonScript>
      <code># Create a binary outcome: 1 if Gentoo, 0 otherwise
penguins_df["is_gentoo"] = (penguins_df["species"] == "Gentoo").astype(int)
penguins_df["is_gentoo"].value_counts()</code>
    </pythonScript>
    <pythonScript>
      <code xml:space="preserve">X_logit = penguins_df[["body_mass_g"]]  
y_logit = penguins_df["is_gentoo"] 
# Add constant 
X_logit = sm.add_constant(X_logit) 
# Fit model  
logit_model = sm.Logit(y_logit, X_logit).fit() 
# Tidy results table 
logit_results_df = logit_model.summary2().tables[1] </code>
    </pythonScript>
    <pythonScript>
      <code># Add odds ratios
logit_results_df["odds_ratio"] = np.exp(logit_results_df["Coef."])
logit_results_df["odds_ratio"]</code>
    </pythonScript>
    <pythonScript>
      <code xml:space="preserve"># Get predicted probabilities 
penguins_df["prob_gentoo"] = logit_model.predict(X_logit) 
# Convert probabilities to predictions (&gt; 0.5 = Gentoo) 
penguins_df["predicted_gentoo"] = (penguins_df["prob_gentoo"] &gt; 0.5).astype(int) 
# Check accuracy 
correct = (penguins_df["predicted_gentoo"] == penguins_df["is_gentoo"]).sum() 
total = len(penguins_df) 
f"Correct: {correct} out of {total}, Accuracy: {round(correct / total * 100, 1)}%%" </code>
    </pythonScript>
    <pythonScript>
      <code xml:space="preserve"># Shuffle the data and split: 80%% training, 20%% testing 
df_shuffled = penguins_df.sample(frac=1, random_state=42) 
split_point = int(len(df_shuffled) * 0.8) 
train = df_shuffled.iloc[:split_point] 
test = df_shuffled.iloc[split_point:] 
print(f"Training set: {len(train)} rows, Test set: {len(test)} rows") </code>
    </pythonScript>
    <pythonScript>
      <code># Fit on training data only
X_train = sm.add_constant(train[["body_mass_g", "bill_length_mm", "bill_depth_mm"]])
y_train = train["flipper_length_mm"]
model_train = sm.OLS(y_train, X_train).fit()</code>
    </pythonScript>
    <pythonScript>
      <code># Predict on test data
X_test = sm.add_constant(test[["body_mass_g", "bill_length_mm", "bill_depth_mm"]])
y_test = test["flipper_length_mm"]
predictions = model_train.predict(X_test)
# Calculate error
errors = y_test - predictions
mae = errors.abs().mean()
"Mean Absolute Error on test set: " + str(round(mae, 2)) + " mm"</code>
    </pythonScript>
    <pythonScript>
      <code># Fit logistic regression on training data
X_train_logit = sm.add_constant(train[["body_mass_g", "flipper_length_mm", "bill_depth_mm"]])
y_train_logit = train["is_gentoo"]
logit_train = sm.Logit(y_train_logit, X_train_logit).fit()</code>
    </pythonScript>
    <pythonScript>
      <code># Predict on test data
X_test_logit = sm.add_constant(test[["body_mass_g", "flipper_length_mm", "bill_depth_mm"]])
y_test_logit = test["is_gentoo"]
probs = logit_train.predict(X_test_logit)
predictions_logit = (probs &gt; 0.5).astype(int)
correct = (predictions_logit == y_test_logit).sum()
total = len(y_test_logit)
"Test set accuracy: " + str(round(correct / total * 100, 1)) + "%%, Correct: " + str(correct) + " out of " + str(total)</code>
    </pythonScript>
    <pythonScript>
      <code>plt.figure(figsize=(7, 7))
sns.scatterplot(x=y_test, y=predictions, alpha=0.6)
plt.plot([170, 235], [170, 235], color="red", linestyle="--", label="Perfect prediction")
plt.xlabel("Actual Flipper Length (mm)")
plt.ylabel("Predicted Flipper Length (mm)")
plt.title("Predicted vs. Actual Flipper Length (Test Set)")
plt.legend()</code>
    </pythonScript>
  </pythonScripts>
</python>
</file>

<file path=xl/sharedStrings.xml><?xml version="1.0" encoding="utf-8"?>
<sst xmlns="http://schemas.openxmlformats.org/spreadsheetml/2006/main" count="1039" uniqueCount="16">
  <si>
    <t>species</t>
  </si>
  <si>
    <t>island</t>
  </si>
  <si>
    <t>bill_length_mm</t>
  </si>
  <si>
    <t>bill_depth_mm</t>
  </si>
  <si>
    <t>flipper_length_mm</t>
  </si>
  <si>
    <t>body_mass_g</t>
  </si>
  <si>
    <t>sex</t>
  </si>
  <si>
    <t>Adelie</t>
  </si>
  <si>
    <t>Torgersen</t>
  </si>
  <si>
    <t>Biscoe</t>
  </si>
  <si>
    <t>Chinstrap</t>
  </si>
  <si>
    <t>Dream</t>
  </si>
  <si>
    <t>Gentoo</t>
  </si>
  <si>
    <t>Male</t>
  </si>
  <si>
    <t>Female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</si>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</sst>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13" Type="http://schemas.microsoft.com/office/2017/06/relationships/rdSupportingPropertyBag" Target="richData/rdsupportingpropertybag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12" Type="http://schemas.microsoft.com/office/2017/06/relationships/rdSupportingPropertyBagStructure" Target="richData/rdsupportingpropertybagstructure.xml"/><Relationship Id="rId2" Type="http://schemas.openxmlformats.org/officeDocument/2006/relationships/worksheet" Target="worksheets/sheet2.xml"/><Relationship Id="rId16" Type="http://schemas.microsoft.com/office/2023/09/relationships/Python" Target="python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microsoft.com/office/2017/06/relationships/richStyles" Target="richData/richStyles.xml"/><Relationship Id="rId5" Type="http://schemas.openxmlformats.org/officeDocument/2006/relationships/sharedStrings" Target="sharedStrings.xml"/><Relationship Id="rId15" Type="http://schemas.openxmlformats.org/officeDocument/2006/relationships/calcChain" Target="calcChain.xml"/><Relationship Id="rId10" Type="http://schemas.microsoft.com/office/2017/06/relationships/rdArray" Target="richData/rdarray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Relationship Id="rId14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4234</xdr:colOff>
      <xdr:row>6</xdr:row>
      <xdr:rowOff>101599</xdr:rowOff>
    </xdr:from>
    <xdr:to>
      <xdr:col>3</xdr:col>
      <xdr:colOff>948956</xdr:colOff>
      <xdr:row>18</xdr:row>
      <xdr:rowOff>135466</xdr:rowOff>
    </xdr:to>
    <xdr:pic>
      <xdr:nvPicPr>
        <xdr:cNvPr id="2" name="Picture 1" descr="Image generated by Python">
          <a:extLst>
            <a:ext uri="{FF2B5EF4-FFF2-40B4-BE49-F238E27FC236}">
              <a16:creationId xmlns:a16="http://schemas.microsoft.com/office/drawing/2014/main" id="{6DB1C01B-A64A-DC47-C2BC-38CA2F4E9971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regression!A8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7701" y="1193799"/>
          <a:ext cx="3294222" cy="2218267"/>
        </a:xfrm>
        <a:prstGeom prst="rect">
          <a:avLst/>
        </a:prstGeom>
      </xdr:spPr>
    </xdr:pic>
    <xdr:clientData/>
  </xdr:twoCellAnchor>
  <xdr:twoCellAnchor editAs="oneCell">
    <xdr:from>
      <xdr:col>0</xdr:col>
      <xdr:colOff>736600</xdr:colOff>
      <xdr:row>99</xdr:row>
      <xdr:rowOff>148166</xdr:rowOff>
    </xdr:from>
    <xdr:to>
      <xdr:col>1</xdr:col>
      <xdr:colOff>571500</xdr:colOff>
      <xdr:row>117</xdr:row>
      <xdr:rowOff>11727</xdr:rowOff>
    </xdr:to>
    <xdr:pic>
      <xdr:nvPicPr>
        <xdr:cNvPr id="3" name="Picture 2" descr="Image generated by Python">
          <a:extLst>
            <a:ext uri="{FF2B5EF4-FFF2-40B4-BE49-F238E27FC236}">
              <a16:creationId xmlns:a16="http://schemas.microsoft.com/office/drawing/2014/main" id="{6596F1C1-C2CA-C859-7319-F0729173D0AC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regression!A101"/>
            </a:ext>
          </a:extLst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6600" y="14346766"/>
          <a:ext cx="3119967" cy="3140161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1">
  <a r="12" c="8">
    <v t="s"/>
    <v t="s">species</v>
    <v t="s">island</v>
    <v t="s">bill_length_mm</v>
    <v t="s">bill_depth_mm</v>
    <v t="s">flipper_length_mm</v>
    <v t="s">body_mass_g</v>
    <v t="s">sex</v>
    <v>0</v>
    <v t="s">Adelie</v>
    <v t="s">Torgersen</v>
    <v>39.1</v>
    <v>18.7</v>
    <v>181</v>
    <v>3750</v>
    <v t="s">Male</v>
    <v>1</v>
    <v t="s">Adelie</v>
    <v t="s">Torgersen</v>
    <v>39.5</v>
    <v>17.399999999999999</v>
    <v>186</v>
    <v>3800</v>
    <v t="s">Female</v>
    <v>2</v>
    <v t="s">Adelie</v>
    <v t="s">Torgersen</v>
    <v>40.299999999999997</v>
    <v>18</v>
    <v>195</v>
    <v>3250</v>
    <v t="s">Female</v>
    <v>3</v>
    <v t="s">Adelie</v>
    <v t="s">Torgersen</v>
    <v t="r">0</v>
    <v t="r">0</v>
    <v t="r">0</v>
    <v t="r">0</v>
    <v t="s"/>
    <v>4</v>
    <v t="s">Adelie</v>
    <v t="s">Torgersen</v>
    <v>36.700000000000003</v>
    <v>19.3</v>
    <v>193</v>
    <v>3450</v>
    <v t="s">Female</v>
    <v t="s">...</v>
    <v t="s">...</v>
    <v t="s">...</v>
    <v t="s">...</v>
    <v t="s">...</v>
    <v t="s">...</v>
    <v t="s">...</v>
    <v t="s">...</v>
    <v>339</v>
    <v t="s">Gentoo</v>
    <v t="s">Biscoe</v>
    <v t="r">0</v>
    <v t="r">0</v>
    <v t="r">0</v>
    <v t="r">0</v>
    <v t="s"/>
    <v>340</v>
    <v t="s">Gentoo</v>
    <v t="s">Biscoe</v>
    <v>46.8</v>
    <v>14.3</v>
    <v>215</v>
    <v>4850</v>
    <v t="s">Female</v>
    <v>341</v>
    <v t="s">Gentoo</v>
    <v t="s">Biscoe</v>
    <v>50.4</v>
    <v>15.7</v>
    <v>222</v>
    <v>5750</v>
    <v t="s">Male</v>
    <v>342</v>
    <v t="s">Gentoo</v>
    <v t="s">Biscoe</v>
    <v>45.2</v>
    <v>14.8</v>
    <v>212</v>
    <v>5200</v>
    <v t="s">Female</v>
    <v>343</v>
    <v t="s">Gentoo</v>
    <v t="s">Biscoe</v>
    <v>49.9</v>
    <v>16.100000000000001</v>
    <v>213</v>
    <v>5400</v>
    <v t="s">Male</v>
  </a>
</arrayData>
</file>

<file path=xl/richData/rdrichvalue.xml><?xml version="1.0" encoding="utf-8"?>
<rvData xmlns="http://schemas.microsoft.com/office/spreadsheetml/2017/richdata" count="9">
  <rv s="0">
    <fb>0</fb>
    <v>2</v>
  </rv>
  <rv s="1">
    <v>0</v>
  </rv>
  <rv s="2">
    <v>DataFrame</v>
    <v>1</v>
    <v>1</v>
  </rv>
  <rv s="3">
    <v>&lt;class 'pandas.core.frame.DataFrame'&gt;</v>
    <v>DataFrame</v>
    <v xml:space="preserve">    species     island  bill_length_mm  bill_depth_mm  flipper_length_mm  \
0    Adelie  Torgersen            39.1           18.7              181.0   
1    Adelie  Torgersen            39.5           17.4              186.0   
2    Adelie  Torgersen  ...</v>
    <v>2</v>
    <v>3</v>
  </rv>
  <rv s="4">
    <v>0</v>
    <v>9</v>
    <v>Image generated by Python</v>
  </rv>
  <rv s="0">
    <fb>0</fb>
    <v>4</v>
  </rv>
  <rv s="5">
    <v>&lt;class 'statsmodels.regression.linear_model.RegressionResultsWrapper'&gt;</v>
    <v>RegressionResultsWrapper</v>
    <v>&lt;statsmodels.regression.linear_model.RegressionResultsWrapper object at 0x7f30509be930&gt;</v>
    <v>3</v>
  </rv>
  <rv s="5">
    <v>&lt;class 'statsmodels.discrete.discrete_model.BinaryResultsWrapper'&gt;</v>
    <v>BinaryResultsWrapper</v>
    <v>&lt;statsmodels.discrete.discrete_model.BinaryResultsWrapper object at 0x7f304551e780&gt;</v>
    <v>3</v>
  </rv>
  <rv s="4">
    <v>1</v>
    <v>9</v>
    <v>Image generated by Python</v>
  </rv>
</rvData>
</file>

<file path=xl/richData/rdrichvaluestructure.xml><?xml version="1.0" encoding="utf-8"?>
<rvStructures xmlns="http://schemas.microsoft.com/office/spreadsheetml/2017/richdata" count="6">
  <s t="_formattednumber">
    <k n="_Format" t="spb"/>
  </s>
  <s t="_array">
    <k n="array" t="a"/>
  </s>
  <s t="_entity">
    <k n="_DisplayString" t="s"/>
    <k n="_ViewInfo" t="spb"/>
    <k n="arrayPreview" t="r"/>
  </s>
  <s t="_python">
    <k n="Python_type" t="s"/>
    <k n="Python_typeName" t="s"/>
    <k n="Python_str" t="s"/>
    <k n="preview" t="r"/>
    <k n="_Provider" t="spb"/>
  </s>
  <s t="_localImage">
    <k n="_rvRel:LocalImageIdentifier" t="i"/>
    <k n="CalcOrigin" t="i"/>
    <k n="Text" t="s"/>
  </s>
  <s t="_python">
    <k n="Python_type" t="s"/>
    <k n="Python_typeName" t="s"/>
    <k n="Python_str" t="s"/>
    <k n="_Provider" t="spb"/>
  </s>
</rvStructures>
</file>

<file path=xl/richData/rdsupportingpropertybag.xml><?xml version="1.0" encoding="utf-8"?>
<supportingPropertyBags xmlns="http://schemas.microsoft.com/office/spreadsheetml/2017/richdata2">
  <spbData count="5">
    <spb s="0">
      <v>344</v>
      <v>7</v>
      <v>DataFrame</v>
      <v>arrayPreview</v>
      <v>1</v>
    </spb>
    <spb s="1">
      <v>0</v>
    </spb>
    <spb s="2">
      <v>1</v>
    </spb>
    <spb s="3">
      <v>https://www.anaconda.com/excel</v>
      <v>https://res.cdn.office.net/officepysvc/prod-preview/anacondalogo.png</v>
      <v>Python provided by Anaconda</v>
    </spb>
    <spb s="2">
      <v>2</v>
    </spb>
  </spbData>
</supportingPropertyBags>
</file>

<file path=xl/richData/rdsupportingpropertybagstructure.xml><?xml version="1.0" encoding="utf-8"?>
<spbStructures xmlns="http://schemas.microsoft.com/office/spreadsheetml/2017/richdata2" count="4">
  <s>
    <k n="drw" t="i"/>
    <k n="dcol" t="i"/>
    <k n="name" t="s"/>
    <k n="array" t="s"/>
    <k n="headers" t="b"/>
  </s>
  <s>
    <k n="ArrayCardInfo" t="spb"/>
  </s>
  <s>
    <k n="_Self" t="i"/>
  </s>
  <s>
    <k n="link" t="s"/>
    <k n="logo" t="s"/>
    <k n="name" t="s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1">
    <x:dxf>
      <x:numFmt numFmtId="0" formatCode="General"/>
    </x:dxf>
  </dxfs>
  <richProperties>
    <rPr n="NumberFormat" t="s"/>
  </richProperties>
  <richStyles>
    <rSty dxfid="0">
      <rpv i="0">0;-0;"nan"</rpv>
    </rSty>
    <rSty dxfid="0">
      <rpv i="0">0;-0;"None"</rpv>
    </rSty>
  </richStyles>
</richStyleSheet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20FF35-8777-4EAF-AF93-CEF45DF60D6A}" name="penguins" displayName="penguins" ref="A1:G345" totalsRowShown="0">
  <autoFilter ref="A1:G345" xr:uid="{5820FF35-8777-4EAF-AF93-CEF45DF60D6A}"/>
  <tableColumns count="7">
    <tableColumn id="1" xr3:uid="{9FB2A503-3157-4703-8E82-E8134F7CF135}" name="species"/>
    <tableColumn id="2" xr3:uid="{59122A43-DE10-46C4-86B2-AC2779ECBD64}" name="island"/>
    <tableColumn id="3" xr3:uid="{9B299EAE-5D57-49A7-B766-AC294DA3D939}" name="bill_length_mm"/>
    <tableColumn id="4" xr3:uid="{540180A3-B30E-4D68-9D2C-072DCE329606}" name="bill_depth_mm"/>
    <tableColumn id="5" xr3:uid="{1DFE6955-C02E-4C99-BF7D-8F684381CF39}" name="flipper_length_mm"/>
    <tableColumn id="6" xr3:uid="{70EEF868-6967-4EB6-9663-7204BAE04175}" name="body_mass_g"/>
    <tableColumn id="7" xr3:uid="{EAC8E03C-D63D-4060-B663-C78122DA1B51}" name="sex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45"/>
  <sheetViews>
    <sheetView topLeftCell="A319" workbookViewId="0">
      <selection activeCell="B17" sqref="A2:G345"/>
    </sheetView>
  </sheetViews>
  <sheetFormatPr defaultRowHeight="14.35" x14ac:dyDescent="0.5"/>
  <cols>
    <col min="1" max="2" width="11" customWidth="1"/>
    <col min="3" max="3" width="16" customWidth="1"/>
    <col min="4" max="4" width="15" customWidth="1"/>
    <col min="5" max="5" width="19" customWidth="1"/>
    <col min="6" max="6" width="13.52734375" customWidth="1"/>
    <col min="7" max="7" width="8" customWidth="1"/>
  </cols>
  <sheetData>
    <row r="1" spans="1:9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e" cm="1" vm="1">
        <f t="array" ref="I1">_xlfn._xlws.PY(0,1,penguins[#All])</f>
        <v>#VALUE!</v>
      </c>
    </row>
    <row r="2" spans="1:9" x14ac:dyDescent="0.5">
      <c r="A2" t="s">
        <v>7</v>
      </c>
      <c r="B2" t="s">
        <v>8</v>
      </c>
      <c r="C2">
        <v>39.1</v>
      </c>
      <c r="D2">
        <v>18.7</v>
      </c>
      <c r="E2">
        <v>181</v>
      </c>
      <c r="F2">
        <v>3750</v>
      </c>
      <c r="G2" t="s">
        <v>13</v>
      </c>
    </row>
    <row r="3" spans="1:9" x14ac:dyDescent="0.5">
      <c r="A3" t="s">
        <v>7</v>
      </c>
      <c r="B3" t="s">
        <v>8</v>
      </c>
      <c r="C3">
        <v>39.5</v>
      </c>
      <c r="D3">
        <v>17.399999999999999</v>
      </c>
      <c r="E3">
        <v>186</v>
      </c>
      <c r="F3">
        <v>3800</v>
      </c>
      <c r="G3" t="s">
        <v>14</v>
      </c>
    </row>
    <row r="4" spans="1:9" x14ac:dyDescent="0.5">
      <c r="A4" t="s">
        <v>7</v>
      </c>
      <c r="B4" t="s">
        <v>8</v>
      </c>
      <c r="C4">
        <v>40.299999999999997</v>
      </c>
      <c r="D4">
        <v>18</v>
      </c>
      <c r="E4">
        <v>195</v>
      </c>
      <c r="F4">
        <v>3250</v>
      </c>
      <c r="G4" t="s">
        <v>14</v>
      </c>
    </row>
    <row r="5" spans="1:9" x14ac:dyDescent="0.5">
      <c r="A5" t="s">
        <v>7</v>
      </c>
      <c r="B5" t="s">
        <v>8</v>
      </c>
      <c r="G5" t="s">
        <v>15</v>
      </c>
    </row>
    <row r="6" spans="1:9" x14ac:dyDescent="0.5">
      <c r="A6" t="s">
        <v>7</v>
      </c>
      <c r="B6" t="s">
        <v>8</v>
      </c>
      <c r="C6">
        <v>36.700000000000003</v>
      </c>
      <c r="D6">
        <v>19.3</v>
      </c>
      <c r="E6">
        <v>193</v>
      </c>
      <c r="F6">
        <v>3450</v>
      </c>
      <c r="G6" t="s">
        <v>14</v>
      </c>
    </row>
    <row r="7" spans="1:9" x14ac:dyDescent="0.5">
      <c r="A7" t="s">
        <v>7</v>
      </c>
      <c r="B7" t="s">
        <v>8</v>
      </c>
      <c r="C7">
        <v>39.299999999999997</v>
      </c>
      <c r="D7">
        <v>20.6</v>
      </c>
      <c r="E7">
        <v>190</v>
      </c>
      <c r="F7">
        <v>3650</v>
      </c>
      <c r="G7" t="s">
        <v>13</v>
      </c>
    </row>
    <row r="8" spans="1:9" x14ac:dyDescent="0.5">
      <c r="A8" t="s">
        <v>7</v>
      </c>
      <c r="B8" t="s">
        <v>8</v>
      </c>
      <c r="C8">
        <v>38.9</v>
      </c>
      <c r="D8">
        <v>17.8</v>
      </c>
      <c r="E8">
        <v>181</v>
      </c>
      <c r="F8">
        <v>3625</v>
      </c>
      <c r="G8" t="s">
        <v>14</v>
      </c>
    </row>
    <row r="9" spans="1:9" x14ac:dyDescent="0.5">
      <c r="A9" t="s">
        <v>7</v>
      </c>
      <c r="B9" t="s">
        <v>8</v>
      </c>
      <c r="C9">
        <v>39.200000000000003</v>
      </c>
      <c r="D9">
        <v>19.600000000000001</v>
      </c>
      <c r="E9">
        <v>195</v>
      </c>
      <c r="F9">
        <v>4675</v>
      </c>
      <c r="G9" t="s">
        <v>13</v>
      </c>
    </row>
    <row r="10" spans="1:9" x14ac:dyDescent="0.5">
      <c r="A10" t="s">
        <v>7</v>
      </c>
      <c r="B10" t="s">
        <v>8</v>
      </c>
      <c r="C10">
        <v>34.1</v>
      </c>
      <c r="D10">
        <v>18.100000000000001</v>
      </c>
      <c r="E10">
        <v>193</v>
      </c>
      <c r="F10">
        <v>3475</v>
      </c>
      <c r="G10" t="s">
        <v>15</v>
      </c>
    </row>
    <row r="11" spans="1:9" x14ac:dyDescent="0.5">
      <c r="A11" t="s">
        <v>7</v>
      </c>
      <c r="B11" t="s">
        <v>8</v>
      </c>
      <c r="C11">
        <v>42</v>
      </c>
      <c r="D11">
        <v>20.2</v>
      </c>
      <c r="E11">
        <v>190</v>
      </c>
      <c r="F11">
        <v>4250</v>
      </c>
      <c r="G11" t="s">
        <v>15</v>
      </c>
    </row>
    <row r="12" spans="1:9" x14ac:dyDescent="0.5">
      <c r="A12" t="s">
        <v>7</v>
      </c>
      <c r="B12" t="s">
        <v>8</v>
      </c>
      <c r="C12">
        <v>37.799999999999997</v>
      </c>
      <c r="D12">
        <v>17.100000000000001</v>
      </c>
      <c r="E12">
        <v>186</v>
      </c>
      <c r="F12">
        <v>3300</v>
      </c>
      <c r="G12" t="s">
        <v>15</v>
      </c>
    </row>
    <row r="13" spans="1:9" x14ac:dyDescent="0.5">
      <c r="A13" t="s">
        <v>7</v>
      </c>
      <c r="B13" t="s">
        <v>8</v>
      </c>
      <c r="C13">
        <v>37.799999999999997</v>
      </c>
      <c r="D13">
        <v>17.3</v>
      </c>
      <c r="E13">
        <v>180</v>
      </c>
      <c r="F13">
        <v>3700</v>
      </c>
      <c r="G13" t="s">
        <v>15</v>
      </c>
    </row>
    <row r="14" spans="1:9" x14ac:dyDescent="0.5">
      <c r="A14" t="s">
        <v>7</v>
      </c>
      <c r="B14" t="s">
        <v>8</v>
      </c>
      <c r="C14">
        <v>41.1</v>
      </c>
      <c r="D14">
        <v>17.600000000000001</v>
      </c>
      <c r="E14">
        <v>182</v>
      </c>
      <c r="F14">
        <v>3200</v>
      </c>
      <c r="G14" t="s">
        <v>14</v>
      </c>
    </row>
    <row r="15" spans="1:9" x14ac:dyDescent="0.5">
      <c r="A15" t="s">
        <v>7</v>
      </c>
      <c r="B15" t="s">
        <v>8</v>
      </c>
      <c r="C15">
        <v>38.6</v>
      </c>
      <c r="D15">
        <v>21.2</v>
      </c>
      <c r="E15">
        <v>191</v>
      </c>
      <c r="F15">
        <v>3800</v>
      </c>
      <c r="G15" t="s">
        <v>13</v>
      </c>
    </row>
    <row r="16" spans="1:9" x14ac:dyDescent="0.5">
      <c r="A16" t="s">
        <v>7</v>
      </c>
      <c r="B16" t="s">
        <v>8</v>
      </c>
      <c r="C16">
        <v>34.6</v>
      </c>
      <c r="D16">
        <v>21.1</v>
      </c>
      <c r="E16">
        <v>198</v>
      </c>
      <c r="F16">
        <v>4400</v>
      </c>
      <c r="G16" t="s">
        <v>13</v>
      </c>
    </row>
    <row r="17" spans="1:7" x14ac:dyDescent="0.5">
      <c r="A17" t="s">
        <v>7</v>
      </c>
      <c r="B17" t="s">
        <v>8</v>
      </c>
      <c r="C17">
        <v>36.6</v>
      </c>
      <c r="D17">
        <v>17.8</v>
      </c>
      <c r="E17">
        <v>185</v>
      </c>
      <c r="F17">
        <v>3700</v>
      </c>
      <c r="G17" t="s">
        <v>14</v>
      </c>
    </row>
    <row r="18" spans="1:7" x14ac:dyDescent="0.5">
      <c r="A18" t="s">
        <v>7</v>
      </c>
      <c r="B18" t="s">
        <v>8</v>
      </c>
      <c r="C18">
        <v>38.700000000000003</v>
      </c>
      <c r="D18">
        <v>19</v>
      </c>
      <c r="E18">
        <v>195</v>
      </c>
      <c r="F18">
        <v>3450</v>
      </c>
      <c r="G18" t="s">
        <v>14</v>
      </c>
    </row>
    <row r="19" spans="1:7" x14ac:dyDescent="0.5">
      <c r="A19" t="s">
        <v>7</v>
      </c>
      <c r="B19" t="s">
        <v>8</v>
      </c>
      <c r="C19">
        <v>42.5</v>
      </c>
      <c r="D19">
        <v>20.7</v>
      </c>
      <c r="E19">
        <v>197</v>
      </c>
      <c r="F19">
        <v>4500</v>
      </c>
      <c r="G19" t="s">
        <v>13</v>
      </c>
    </row>
    <row r="20" spans="1:7" x14ac:dyDescent="0.5">
      <c r="A20" t="s">
        <v>7</v>
      </c>
      <c r="B20" t="s">
        <v>8</v>
      </c>
      <c r="C20">
        <v>34.4</v>
      </c>
      <c r="D20">
        <v>18.399999999999999</v>
      </c>
      <c r="E20">
        <v>184</v>
      </c>
      <c r="F20">
        <v>3325</v>
      </c>
      <c r="G20" t="s">
        <v>14</v>
      </c>
    </row>
    <row r="21" spans="1:7" x14ac:dyDescent="0.5">
      <c r="A21" t="s">
        <v>7</v>
      </c>
      <c r="B21" t="s">
        <v>8</v>
      </c>
      <c r="C21">
        <v>46</v>
      </c>
      <c r="D21">
        <v>21.5</v>
      </c>
      <c r="E21">
        <v>194</v>
      </c>
      <c r="F21">
        <v>4200</v>
      </c>
      <c r="G21" t="s">
        <v>13</v>
      </c>
    </row>
    <row r="22" spans="1:7" x14ac:dyDescent="0.5">
      <c r="A22" t="s">
        <v>7</v>
      </c>
      <c r="B22" t="s">
        <v>9</v>
      </c>
      <c r="C22">
        <v>37.799999999999997</v>
      </c>
      <c r="D22">
        <v>18.3</v>
      </c>
      <c r="E22">
        <v>174</v>
      </c>
      <c r="F22">
        <v>3400</v>
      </c>
      <c r="G22" t="s">
        <v>14</v>
      </c>
    </row>
    <row r="23" spans="1:7" x14ac:dyDescent="0.5">
      <c r="A23" t="s">
        <v>7</v>
      </c>
      <c r="B23" t="s">
        <v>9</v>
      </c>
      <c r="C23">
        <v>37.700000000000003</v>
      </c>
      <c r="D23">
        <v>18.7</v>
      </c>
      <c r="E23">
        <v>180</v>
      </c>
      <c r="F23">
        <v>3600</v>
      </c>
      <c r="G23" t="s">
        <v>13</v>
      </c>
    </row>
    <row r="24" spans="1:7" x14ac:dyDescent="0.5">
      <c r="A24" t="s">
        <v>7</v>
      </c>
      <c r="B24" t="s">
        <v>9</v>
      </c>
      <c r="C24">
        <v>35.9</v>
      </c>
      <c r="D24">
        <v>19.2</v>
      </c>
      <c r="E24">
        <v>189</v>
      </c>
      <c r="F24">
        <v>3800</v>
      </c>
      <c r="G24" t="s">
        <v>14</v>
      </c>
    </row>
    <row r="25" spans="1:7" x14ac:dyDescent="0.5">
      <c r="A25" t="s">
        <v>7</v>
      </c>
      <c r="B25" t="s">
        <v>9</v>
      </c>
      <c r="C25">
        <v>38.200000000000003</v>
      </c>
      <c r="D25">
        <v>18.100000000000001</v>
      </c>
      <c r="E25">
        <v>185</v>
      </c>
      <c r="F25">
        <v>3950</v>
      </c>
      <c r="G25" t="s">
        <v>13</v>
      </c>
    </row>
    <row r="26" spans="1:7" x14ac:dyDescent="0.5">
      <c r="A26" t="s">
        <v>7</v>
      </c>
      <c r="B26" t="s">
        <v>9</v>
      </c>
      <c r="C26">
        <v>38.799999999999997</v>
      </c>
      <c r="D26">
        <v>17.2</v>
      </c>
      <c r="E26">
        <v>180</v>
      </c>
      <c r="F26">
        <v>3800</v>
      </c>
      <c r="G26" t="s">
        <v>13</v>
      </c>
    </row>
    <row r="27" spans="1:7" x14ac:dyDescent="0.5">
      <c r="A27" t="s">
        <v>7</v>
      </c>
      <c r="B27" t="s">
        <v>9</v>
      </c>
      <c r="C27">
        <v>35.299999999999997</v>
      </c>
      <c r="D27">
        <v>18.899999999999999</v>
      </c>
      <c r="E27">
        <v>187</v>
      </c>
      <c r="F27">
        <v>3800</v>
      </c>
      <c r="G27" t="s">
        <v>14</v>
      </c>
    </row>
    <row r="28" spans="1:7" x14ac:dyDescent="0.5">
      <c r="A28" t="s">
        <v>7</v>
      </c>
      <c r="B28" t="s">
        <v>9</v>
      </c>
      <c r="C28">
        <v>40.6</v>
      </c>
      <c r="D28">
        <v>18.600000000000001</v>
      </c>
      <c r="E28">
        <v>183</v>
      </c>
      <c r="F28">
        <v>3550</v>
      </c>
      <c r="G28" t="s">
        <v>13</v>
      </c>
    </row>
    <row r="29" spans="1:7" x14ac:dyDescent="0.5">
      <c r="A29" t="s">
        <v>7</v>
      </c>
      <c r="B29" t="s">
        <v>9</v>
      </c>
      <c r="C29">
        <v>40.5</v>
      </c>
      <c r="D29">
        <v>17.899999999999999</v>
      </c>
      <c r="E29">
        <v>187</v>
      </c>
      <c r="F29">
        <v>3200</v>
      </c>
      <c r="G29" t="s">
        <v>14</v>
      </c>
    </row>
    <row r="30" spans="1:7" x14ac:dyDescent="0.5">
      <c r="A30" t="s">
        <v>7</v>
      </c>
      <c r="B30" t="s">
        <v>9</v>
      </c>
      <c r="C30">
        <v>37.9</v>
      </c>
      <c r="D30">
        <v>18.600000000000001</v>
      </c>
      <c r="E30">
        <v>172</v>
      </c>
      <c r="F30">
        <v>3150</v>
      </c>
      <c r="G30" t="s">
        <v>14</v>
      </c>
    </row>
    <row r="31" spans="1:7" x14ac:dyDescent="0.5">
      <c r="A31" t="s">
        <v>7</v>
      </c>
      <c r="B31" t="s">
        <v>9</v>
      </c>
      <c r="C31">
        <v>40.5</v>
      </c>
      <c r="D31">
        <v>18.899999999999999</v>
      </c>
      <c r="E31">
        <v>180</v>
      </c>
      <c r="F31">
        <v>3950</v>
      </c>
      <c r="G31" t="s">
        <v>13</v>
      </c>
    </row>
    <row r="32" spans="1:7" x14ac:dyDescent="0.5">
      <c r="A32" t="s">
        <v>7</v>
      </c>
      <c r="B32" t="s">
        <v>11</v>
      </c>
      <c r="C32">
        <v>39.5</v>
      </c>
      <c r="D32">
        <v>16.7</v>
      </c>
      <c r="E32">
        <v>178</v>
      </c>
      <c r="F32">
        <v>3250</v>
      </c>
      <c r="G32" t="s">
        <v>14</v>
      </c>
    </row>
    <row r="33" spans="1:7" x14ac:dyDescent="0.5">
      <c r="A33" t="s">
        <v>7</v>
      </c>
      <c r="B33" t="s">
        <v>11</v>
      </c>
      <c r="C33">
        <v>37.200000000000003</v>
      </c>
      <c r="D33">
        <v>18.100000000000001</v>
      </c>
      <c r="E33">
        <v>178</v>
      </c>
      <c r="F33">
        <v>3900</v>
      </c>
      <c r="G33" t="s">
        <v>13</v>
      </c>
    </row>
    <row r="34" spans="1:7" x14ac:dyDescent="0.5">
      <c r="A34" t="s">
        <v>7</v>
      </c>
      <c r="B34" t="s">
        <v>11</v>
      </c>
      <c r="C34">
        <v>39.5</v>
      </c>
      <c r="D34">
        <v>17.8</v>
      </c>
      <c r="E34">
        <v>188</v>
      </c>
      <c r="F34">
        <v>3300</v>
      </c>
      <c r="G34" t="s">
        <v>14</v>
      </c>
    </row>
    <row r="35" spans="1:7" x14ac:dyDescent="0.5">
      <c r="A35" t="s">
        <v>7</v>
      </c>
      <c r="B35" t="s">
        <v>11</v>
      </c>
      <c r="C35">
        <v>40.9</v>
      </c>
      <c r="D35">
        <v>18.899999999999999</v>
      </c>
      <c r="E35">
        <v>184</v>
      </c>
      <c r="F35">
        <v>3900</v>
      </c>
      <c r="G35" t="s">
        <v>13</v>
      </c>
    </row>
    <row r="36" spans="1:7" x14ac:dyDescent="0.5">
      <c r="A36" t="s">
        <v>7</v>
      </c>
      <c r="B36" t="s">
        <v>11</v>
      </c>
      <c r="C36">
        <v>36.4</v>
      </c>
      <c r="D36">
        <v>17</v>
      </c>
      <c r="E36">
        <v>195</v>
      </c>
      <c r="F36">
        <v>3325</v>
      </c>
      <c r="G36" t="s">
        <v>14</v>
      </c>
    </row>
    <row r="37" spans="1:7" x14ac:dyDescent="0.5">
      <c r="A37" t="s">
        <v>7</v>
      </c>
      <c r="B37" t="s">
        <v>11</v>
      </c>
      <c r="C37">
        <v>39.200000000000003</v>
      </c>
      <c r="D37">
        <v>21.1</v>
      </c>
      <c r="E37">
        <v>196</v>
      </c>
      <c r="F37">
        <v>4150</v>
      </c>
      <c r="G37" t="s">
        <v>13</v>
      </c>
    </row>
    <row r="38" spans="1:7" x14ac:dyDescent="0.5">
      <c r="A38" t="s">
        <v>7</v>
      </c>
      <c r="B38" t="s">
        <v>11</v>
      </c>
      <c r="C38">
        <v>38.799999999999997</v>
      </c>
      <c r="D38">
        <v>20</v>
      </c>
      <c r="E38">
        <v>190</v>
      </c>
      <c r="F38">
        <v>3950</v>
      </c>
      <c r="G38" t="s">
        <v>13</v>
      </c>
    </row>
    <row r="39" spans="1:7" x14ac:dyDescent="0.5">
      <c r="A39" t="s">
        <v>7</v>
      </c>
      <c r="B39" t="s">
        <v>11</v>
      </c>
      <c r="C39">
        <v>42.2</v>
      </c>
      <c r="D39">
        <v>18.5</v>
      </c>
      <c r="E39">
        <v>180</v>
      </c>
      <c r="F39">
        <v>3550</v>
      </c>
      <c r="G39" t="s">
        <v>14</v>
      </c>
    </row>
    <row r="40" spans="1:7" x14ac:dyDescent="0.5">
      <c r="A40" t="s">
        <v>7</v>
      </c>
      <c r="B40" t="s">
        <v>11</v>
      </c>
      <c r="C40">
        <v>37.6</v>
      </c>
      <c r="D40">
        <v>19.3</v>
      </c>
      <c r="E40">
        <v>181</v>
      </c>
      <c r="F40">
        <v>3300</v>
      </c>
      <c r="G40" t="s">
        <v>14</v>
      </c>
    </row>
    <row r="41" spans="1:7" x14ac:dyDescent="0.5">
      <c r="A41" t="s">
        <v>7</v>
      </c>
      <c r="B41" t="s">
        <v>11</v>
      </c>
      <c r="C41">
        <v>39.799999999999997</v>
      </c>
      <c r="D41">
        <v>19.100000000000001</v>
      </c>
      <c r="E41">
        <v>184</v>
      </c>
      <c r="F41">
        <v>4650</v>
      </c>
      <c r="G41" t="s">
        <v>13</v>
      </c>
    </row>
    <row r="42" spans="1:7" x14ac:dyDescent="0.5">
      <c r="A42" t="s">
        <v>7</v>
      </c>
      <c r="B42" t="s">
        <v>11</v>
      </c>
      <c r="C42">
        <v>36.5</v>
      </c>
      <c r="D42">
        <v>18</v>
      </c>
      <c r="E42">
        <v>182</v>
      </c>
      <c r="F42">
        <v>3150</v>
      </c>
      <c r="G42" t="s">
        <v>14</v>
      </c>
    </row>
    <row r="43" spans="1:7" x14ac:dyDescent="0.5">
      <c r="A43" t="s">
        <v>7</v>
      </c>
      <c r="B43" t="s">
        <v>11</v>
      </c>
      <c r="C43">
        <v>40.799999999999997</v>
      </c>
      <c r="D43">
        <v>18.399999999999999</v>
      </c>
      <c r="E43">
        <v>195</v>
      </c>
      <c r="F43">
        <v>3900</v>
      </c>
      <c r="G43" t="s">
        <v>13</v>
      </c>
    </row>
    <row r="44" spans="1:7" x14ac:dyDescent="0.5">
      <c r="A44" t="s">
        <v>7</v>
      </c>
      <c r="B44" t="s">
        <v>11</v>
      </c>
      <c r="C44">
        <v>36</v>
      </c>
      <c r="D44">
        <v>18.5</v>
      </c>
      <c r="E44">
        <v>186</v>
      </c>
      <c r="F44">
        <v>3100</v>
      </c>
      <c r="G44" t="s">
        <v>14</v>
      </c>
    </row>
    <row r="45" spans="1:7" x14ac:dyDescent="0.5">
      <c r="A45" t="s">
        <v>7</v>
      </c>
      <c r="B45" t="s">
        <v>11</v>
      </c>
      <c r="C45">
        <v>44.1</v>
      </c>
      <c r="D45">
        <v>19.7</v>
      </c>
      <c r="E45">
        <v>196</v>
      </c>
      <c r="F45">
        <v>4400</v>
      </c>
      <c r="G45" t="s">
        <v>13</v>
      </c>
    </row>
    <row r="46" spans="1:7" x14ac:dyDescent="0.5">
      <c r="A46" t="s">
        <v>7</v>
      </c>
      <c r="B46" t="s">
        <v>11</v>
      </c>
      <c r="C46">
        <v>37</v>
      </c>
      <c r="D46">
        <v>16.899999999999999</v>
      </c>
      <c r="E46">
        <v>185</v>
      </c>
      <c r="F46">
        <v>3000</v>
      </c>
      <c r="G46" t="s">
        <v>14</v>
      </c>
    </row>
    <row r="47" spans="1:7" x14ac:dyDescent="0.5">
      <c r="A47" t="s">
        <v>7</v>
      </c>
      <c r="B47" t="s">
        <v>11</v>
      </c>
      <c r="C47">
        <v>39.6</v>
      </c>
      <c r="D47">
        <v>18.8</v>
      </c>
      <c r="E47">
        <v>190</v>
      </c>
      <c r="F47">
        <v>4600</v>
      </c>
      <c r="G47" t="s">
        <v>13</v>
      </c>
    </row>
    <row r="48" spans="1:7" x14ac:dyDescent="0.5">
      <c r="A48" t="s">
        <v>7</v>
      </c>
      <c r="B48" t="s">
        <v>11</v>
      </c>
      <c r="C48">
        <v>41.1</v>
      </c>
      <c r="D48">
        <v>19</v>
      </c>
      <c r="E48">
        <v>182</v>
      </c>
      <c r="F48">
        <v>3425</v>
      </c>
      <c r="G48" t="s">
        <v>13</v>
      </c>
    </row>
    <row r="49" spans="1:7" x14ac:dyDescent="0.5">
      <c r="A49" t="s">
        <v>7</v>
      </c>
      <c r="B49" t="s">
        <v>11</v>
      </c>
      <c r="C49">
        <v>37.5</v>
      </c>
      <c r="D49">
        <v>18.899999999999999</v>
      </c>
      <c r="E49">
        <v>179</v>
      </c>
      <c r="F49">
        <v>2975</v>
      </c>
      <c r="G49" t="s">
        <v>15</v>
      </c>
    </row>
    <row r="50" spans="1:7" x14ac:dyDescent="0.5">
      <c r="A50" t="s">
        <v>7</v>
      </c>
      <c r="B50" t="s">
        <v>11</v>
      </c>
      <c r="C50">
        <v>36</v>
      </c>
      <c r="D50">
        <v>17.899999999999999</v>
      </c>
      <c r="E50">
        <v>190</v>
      </c>
      <c r="F50">
        <v>3450</v>
      </c>
      <c r="G50" t="s">
        <v>14</v>
      </c>
    </row>
    <row r="51" spans="1:7" x14ac:dyDescent="0.5">
      <c r="A51" t="s">
        <v>7</v>
      </c>
      <c r="B51" t="s">
        <v>11</v>
      </c>
      <c r="C51">
        <v>42.3</v>
      </c>
      <c r="D51">
        <v>21.2</v>
      </c>
      <c r="E51">
        <v>191</v>
      </c>
      <c r="F51">
        <v>4150</v>
      </c>
      <c r="G51" t="s">
        <v>13</v>
      </c>
    </row>
    <row r="52" spans="1:7" x14ac:dyDescent="0.5">
      <c r="A52" t="s">
        <v>7</v>
      </c>
      <c r="B52" t="s">
        <v>9</v>
      </c>
      <c r="C52">
        <v>39.6</v>
      </c>
      <c r="D52">
        <v>17.7</v>
      </c>
      <c r="E52">
        <v>186</v>
      </c>
      <c r="F52">
        <v>3500</v>
      </c>
      <c r="G52" t="s">
        <v>14</v>
      </c>
    </row>
    <row r="53" spans="1:7" x14ac:dyDescent="0.5">
      <c r="A53" t="s">
        <v>7</v>
      </c>
      <c r="B53" t="s">
        <v>9</v>
      </c>
      <c r="C53">
        <v>40.1</v>
      </c>
      <c r="D53">
        <v>18.899999999999999</v>
      </c>
      <c r="E53">
        <v>188</v>
      </c>
      <c r="F53">
        <v>4300</v>
      </c>
      <c r="G53" t="s">
        <v>13</v>
      </c>
    </row>
    <row r="54" spans="1:7" x14ac:dyDescent="0.5">
      <c r="A54" t="s">
        <v>7</v>
      </c>
      <c r="B54" t="s">
        <v>9</v>
      </c>
      <c r="C54">
        <v>35</v>
      </c>
      <c r="D54">
        <v>17.899999999999999</v>
      </c>
      <c r="E54">
        <v>190</v>
      </c>
      <c r="F54">
        <v>3450</v>
      </c>
      <c r="G54" t="s">
        <v>14</v>
      </c>
    </row>
    <row r="55" spans="1:7" x14ac:dyDescent="0.5">
      <c r="A55" t="s">
        <v>7</v>
      </c>
      <c r="B55" t="s">
        <v>9</v>
      </c>
      <c r="C55">
        <v>42</v>
      </c>
      <c r="D55">
        <v>19.5</v>
      </c>
      <c r="E55">
        <v>200</v>
      </c>
      <c r="F55">
        <v>4050</v>
      </c>
      <c r="G55" t="s">
        <v>13</v>
      </c>
    </row>
    <row r="56" spans="1:7" x14ac:dyDescent="0.5">
      <c r="A56" t="s">
        <v>7</v>
      </c>
      <c r="B56" t="s">
        <v>9</v>
      </c>
      <c r="C56">
        <v>34.5</v>
      </c>
      <c r="D56">
        <v>18.100000000000001</v>
      </c>
      <c r="E56">
        <v>187</v>
      </c>
      <c r="F56">
        <v>2900</v>
      </c>
      <c r="G56" t="s">
        <v>14</v>
      </c>
    </row>
    <row r="57" spans="1:7" x14ac:dyDescent="0.5">
      <c r="A57" t="s">
        <v>7</v>
      </c>
      <c r="B57" t="s">
        <v>9</v>
      </c>
      <c r="C57">
        <v>41.4</v>
      </c>
      <c r="D57">
        <v>18.600000000000001</v>
      </c>
      <c r="E57">
        <v>191</v>
      </c>
      <c r="F57">
        <v>3700</v>
      </c>
      <c r="G57" t="s">
        <v>13</v>
      </c>
    </row>
    <row r="58" spans="1:7" x14ac:dyDescent="0.5">
      <c r="A58" t="s">
        <v>7</v>
      </c>
      <c r="B58" t="s">
        <v>9</v>
      </c>
      <c r="C58">
        <v>39</v>
      </c>
      <c r="D58">
        <v>17.5</v>
      </c>
      <c r="E58">
        <v>186</v>
      </c>
      <c r="F58">
        <v>3550</v>
      </c>
      <c r="G58" t="s">
        <v>14</v>
      </c>
    </row>
    <row r="59" spans="1:7" x14ac:dyDescent="0.5">
      <c r="A59" t="s">
        <v>7</v>
      </c>
      <c r="B59" t="s">
        <v>9</v>
      </c>
      <c r="C59">
        <v>40.6</v>
      </c>
      <c r="D59">
        <v>18.8</v>
      </c>
      <c r="E59">
        <v>193</v>
      </c>
      <c r="F59">
        <v>3800</v>
      </c>
      <c r="G59" t="s">
        <v>13</v>
      </c>
    </row>
    <row r="60" spans="1:7" x14ac:dyDescent="0.5">
      <c r="A60" t="s">
        <v>7</v>
      </c>
      <c r="B60" t="s">
        <v>9</v>
      </c>
      <c r="C60">
        <v>36.5</v>
      </c>
      <c r="D60">
        <v>16.600000000000001</v>
      </c>
      <c r="E60">
        <v>181</v>
      </c>
      <c r="F60">
        <v>2850</v>
      </c>
      <c r="G60" t="s">
        <v>14</v>
      </c>
    </row>
    <row r="61" spans="1:7" x14ac:dyDescent="0.5">
      <c r="A61" t="s">
        <v>7</v>
      </c>
      <c r="B61" t="s">
        <v>9</v>
      </c>
      <c r="C61">
        <v>37.6</v>
      </c>
      <c r="D61">
        <v>19.100000000000001</v>
      </c>
      <c r="E61">
        <v>194</v>
      </c>
      <c r="F61">
        <v>3750</v>
      </c>
      <c r="G61" t="s">
        <v>13</v>
      </c>
    </row>
    <row r="62" spans="1:7" x14ac:dyDescent="0.5">
      <c r="A62" t="s">
        <v>7</v>
      </c>
      <c r="B62" t="s">
        <v>9</v>
      </c>
      <c r="C62">
        <v>35.700000000000003</v>
      </c>
      <c r="D62">
        <v>16.899999999999999</v>
      </c>
      <c r="E62">
        <v>185</v>
      </c>
      <c r="F62">
        <v>3150</v>
      </c>
      <c r="G62" t="s">
        <v>14</v>
      </c>
    </row>
    <row r="63" spans="1:7" x14ac:dyDescent="0.5">
      <c r="A63" t="s">
        <v>7</v>
      </c>
      <c r="B63" t="s">
        <v>9</v>
      </c>
      <c r="C63">
        <v>41.3</v>
      </c>
      <c r="D63">
        <v>21.1</v>
      </c>
      <c r="E63">
        <v>195</v>
      </c>
      <c r="F63">
        <v>4400</v>
      </c>
      <c r="G63" t="s">
        <v>13</v>
      </c>
    </row>
    <row r="64" spans="1:7" x14ac:dyDescent="0.5">
      <c r="A64" t="s">
        <v>7</v>
      </c>
      <c r="B64" t="s">
        <v>9</v>
      </c>
      <c r="C64">
        <v>37.6</v>
      </c>
      <c r="D64">
        <v>17</v>
      </c>
      <c r="E64">
        <v>185</v>
      </c>
      <c r="F64">
        <v>3600</v>
      </c>
      <c r="G64" t="s">
        <v>14</v>
      </c>
    </row>
    <row r="65" spans="1:7" x14ac:dyDescent="0.5">
      <c r="A65" t="s">
        <v>7</v>
      </c>
      <c r="B65" t="s">
        <v>9</v>
      </c>
      <c r="C65">
        <v>41.1</v>
      </c>
      <c r="D65">
        <v>18.2</v>
      </c>
      <c r="E65">
        <v>192</v>
      </c>
      <c r="F65">
        <v>4050</v>
      </c>
      <c r="G65" t="s">
        <v>13</v>
      </c>
    </row>
    <row r="66" spans="1:7" x14ac:dyDescent="0.5">
      <c r="A66" t="s">
        <v>7</v>
      </c>
      <c r="B66" t="s">
        <v>9</v>
      </c>
      <c r="C66">
        <v>36.4</v>
      </c>
      <c r="D66">
        <v>17.100000000000001</v>
      </c>
      <c r="E66">
        <v>184</v>
      </c>
      <c r="F66">
        <v>2850</v>
      </c>
      <c r="G66" t="s">
        <v>14</v>
      </c>
    </row>
    <row r="67" spans="1:7" x14ac:dyDescent="0.5">
      <c r="A67" t="s">
        <v>7</v>
      </c>
      <c r="B67" t="s">
        <v>9</v>
      </c>
      <c r="C67">
        <v>41.6</v>
      </c>
      <c r="D67">
        <v>18</v>
      </c>
      <c r="E67">
        <v>192</v>
      </c>
      <c r="F67">
        <v>3950</v>
      </c>
      <c r="G67" t="s">
        <v>13</v>
      </c>
    </row>
    <row r="68" spans="1:7" x14ac:dyDescent="0.5">
      <c r="A68" t="s">
        <v>7</v>
      </c>
      <c r="B68" t="s">
        <v>9</v>
      </c>
      <c r="C68">
        <v>35.5</v>
      </c>
      <c r="D68">
        <v>16.2</v>
      </c>
      <c r="E68">
        <v>195</v>
      </c>
      <c r="F68">
        <v>3350</v>
      </c>
      <c r="G68" t="s">
        <v>14</v>
      </c>
    </row>
    <row r="69" spans="1:7" x14ac:dyDescent="0.5">
      <c r="A69" t="s">
        <v>7</v>
      </c>
      <c r="B69" t="s">
        <v>9</v>
      </c>
      <c r="C69">
        <v>41.1</v>
      </c>
      <c r="D69">
        <v>19.100000000000001</v>
      </c>
      <c r="E69">
        <v>188</v>
      </c>
      <c r="F69">
        <v>4100</v>
      </c>
      <c r="G69" t="s">
        <v>13</v>
      </c>
    </row>
    <row r="70" spans="1:7" x14ac:dyDescent="0.5">
      <c r="A70" t="s">
        <v>7</v>
      </c>
      <c r="B70" t="s">
        <v>8</v>
      </c>
      <c r="C70">
        <v>35.9</v>
      </c>
      <c r="D70">
        <v>16.600000000000001</v>
      </c>
      <c r="E70">
        <v>190</v>
      </c>
      <c r="F70">
        <v>3050</v>
      </c>
      <c r="G70" t="s">
        <v>14</v>
      </c>
    </row>
    <row r="71" spans="1:7" x14ac:dyDescent="0.5">
      <c r="A71" t="s">
        <v>7</v>
      </c>
      <c r="B71" t="s">
        <v>8</v>
      </c>
      <c r="C71">
        <v>41.8</v>
      </c>
      <c r="D71">
        <v>19.399999999999999</v>
      </c>
      <c r="E71">
        <v>198</v>
      </c>
      <c r="F71">
        <v>4450</v>
      </c>
      <c r="G71" t="s">
        <v>13</v>
      </c>
    </row>
    <row r="72" spans="1:7" x14ac:dyDescent="0.5">
      <c r="A72" t="s">
        <v>7</v>
      </c>
      <c r="B72" t="s">
        <v>8</v>
      </c>
      <c r="C72">
        <v>33.5</v>
      </c>
      <c r="D72">
        <v>19</v>
      </c>
      <c r="E72">
        <v>190</v>
      </c>
      <c r="F72">
        <v>3600</v>
      </c>
      <c r="G72" t="s">
        <v>14</v>
      </c>
    </row>
    <row r="73" spans="1:7" x14ac:dyDescent="0.5">
      <c r="A73" t="s">
        <v>7</v>
      </c>
      <c r="B73" t="s">
        <v>8</v>
      </c>
      <c r="C73">
        <v>39.700000000000003</v>
      </c>
      <c r="D73">
        <v>18.399999999999999</v>
      </c>
      <c r="E73">
        <v>190</v>
      </c>
      <c r="F73">
        <v>3900</v>
      </c>
      <c r="G73" t="s">
        <v>13</v>
      </c>
    </row>
    <row r="74" spans="1:7" x14ac:dyDescent="0.5">
      <c r="A74" t="s">
        <v>7</v>
      </c>
      <c r="B74" t="s">
        <v>8</v>
      </c>
      <c r="C74">
        <v>39.6</v>
      </c>
      <c r="D74">
        <v>17.2</v>
      </c>
      <c r="E74">
        <v>196</v>
      </c>
      <c r="F74">
        <v>3550</v>
      </c>
      <c r="G74" t="s">
        <v>14</v>
      </c>
    </row>
    <row r="75" spans="1:7" x14ac:dyDescent="0.5">
      <c r="A75" t="s">
        <v>7</v>
      </c>
      <c r="B75" t="s">
        <v>8</v>
      </c>
      <c r="C75">
        <v>45.8</v>
      </c>
      <c r="D75">
        <v>18.899999999999999</v>
      </c>
      <c r="E75">
        <v>197</v>
      </c>
      <c r="F75">
        <v>4150</v>
      </c>
      <c r="G75" t="s">
        <v>13</v>
      </c>
    </row>
    <row r="76" spans="1:7" x14ac:dyDescent="0.5">
      <c r="A76" t="s">
        <v>7</v>
      </c>
      <c r="B76" t="s">
        <v>8</v>
      </c>
      <c r="C76">
        <v>35.5</v>
      </c>
      <c r="D76">
        <v>17.5</v>
      </c>
      <c r="E76">
        <v>190</v>
      </c>
      <c r="F76">
        <v>3700</v>
      </c>
      <c r="G76" t="s">
        <v>14</v>
      </c>
    </row>
    <row r="77" spans="1:7" x14ac:dyDescent="0.5">
      <c r="A77" t="s">
        <v>7</v>
      </c>
      <c r="B77" t="s">
        <v>8</v>
      </c>
      <c r="C77">
        <v>42.8</v>
      </c>
      <c r="D77">
        <v>18.5</v>
      </c>
      <c r="E77">
        <v>195</v>
      </c>
      <c r="F77">
        <v>4250</v>
      </c>
      <c r="G77" t="s">
        <v>13</v>
      </c>
    </row>
    <row r="78" spans="1:7" x14ac:dyDescent="0.5">
      <c r="A78" t="s">
        <v>7</v>
      </c>
      <c r="B78" t="s">
        <v>8</v>
      </c>
      <c r="C78">
        <v>40.9</v>
      </c>
      <c r="D78">
        <v>16.8</v>
      </c>
      <c r="E78">
        <v>191</v>
      </c>
      <c r="F78">
        <v>3700</v>
      </c>
      <c r="G78" t="s">
        <v>14</v>
      </c>
    </row>
    <row r="79" spans="1:7" x14ac:dyDescent="0.5">
      <c r="A79" t="s">
        <v>7</v>
      </c>
      <c r="B79" t="s">
        <v>8</v>
      </c>
      <c r="C79">
        <v>37.200000000000003</v>
      </c>
      <c r="D79">
        <v>19.399999999999999</v>
      </c>
      <c r="E79">
        <v>184</v>
      </c>
      <c r="F79">
        <v>3900</v>
      </c>
      <c r="G79" t="s">
        <v>13</v>
      </c>
    </row>
    <row r="80" spans="1:7" x14ac:dyDescent="0.5">
      <c r="A80" t="s">
        <v>7</v>
      </c>
      <c r="B80" t="s">
        <v>8</v>
      </c>
      <c r="C80">
        <v>36.200000000000003</v>
      </c>
      <c r="D80">
        <v>16.100000000000001</v>
      </c>
      <c r="E80">
        <v>187</v>
      </c>
      <c r="F80">
        <v>3550</v>
      </c>
      <c r="G80" t="s">
        <v>14</v>
      </c>
    </row>
    <row r="81" spans="1:7" x14ac:dyDescent="0.5">
      <c r="A81" t="s">
        <v>7</v>
      </c>
      <c r="B81" t="s">
        <v>8</v>
      </c>
      <c r="C81">
        <v>42.1</v>
      </c>
      <c r="D81">
        <v>19.100000000000001</v>
      </c>
      <c r="E81">
        <v>195</v>
      </c>
      <c r="F81">
        <v>4000</v>
      </c>
      <c r="G81" t="s">
        <v>13</v>
      </c>
    </row>
    <row r="82" spans="1:7" x14ac:dyDescent="0.5">
      <c r="A82" t="s">
        <v>7</v>
      </c>
      <c r="B82" t="s">
        <v>8</v>
      </c>
      <c r="C82">
        <v>34.6</v>
      </c>
      <c r="D82">
        <v>17.2</v>
      </c>
      <c r="E82">
        <v>189</v>
      </c>
      <c r="F82">
        <v>3200</v>
      </c>
      <c r="G82" t="s">
        <v>14</v>
      </c>
    </row>
    <row r="83" spans="1:7" x14ac:dyDescent="0.5">
      <c r="A83" t="s">
        <v>7</v>
      </c>
      <c r="B83" t="s">
        <v>8</v>
      </c>
      <c r="C83">
        <v>42.9</v>
      </c>
      <c r="D83">
        <v>17.600000000000001</v>
      </c>
      <c r="E83">
        <v>196</v>
      </c>
      <c r="F83">
        <v>4700</v>
      </c>
      <c r="G83" t="s">
        <v>13</v>
      </c>
    </row>
    <row r="84" spans="1:7" x14ac:dyDescent="0.5">
      <c r="A84" t="s">
        <v>7</v>
      </c>
      <c r="B84" t="s">
        <v>8</v>
      </c>
      <c r="C84">
        <v>36.700000000000003</v>
      </c>
      <c r="D84">
        <v>18.8</v>
      </c>
      <c r="E84">
        <v>187</v>
      </c>
      <c r="F84">
        <v>3800</v>
      </c>
      <c r="G84" t="s">
        <v>14</v>
      </c>
    </row>
    <row r="85" spans="1:7" x14ac:dyDescent="0.5">
      <c r="A85" t="s">
        <v>7</v>
      </c>
      <c r="B85" t="s">
        <v>8</v>
      </c>
      <c r="C85">
        <v>35.1</v>
      </c>
      <c r="D85">
        <v>19.399999999999999</v>
      </c>
      <c r="E85">
        <v>193</v>
      </c>
      <c r="F85">
        <v>4200</v>
      </c>
      <c r="G85" t="s">
        <v>13</v>
      </c>
    </row>
    <row r="86" spans="1:7" x14ac:dyDescent="0.5">
      <c r="A86" t="s">
        <v>7</v>
      </c>
      <c r="B86" t="s">
        <v>11</v>
      </c>
      <c r="C86">
        <v>37.299999999999997</v>
      </c>
      <c r="D86">
        <v>17.8</v>
      </c>
      <c r="E86">
        <v>191</v>
      </c>
      <c r="F86">
        <v>3350</v>
      </c>
      <c r="G86" t="s">
        <v>14</v>
      </c>
    </row>
    <row r="87" spans="1:7" x14ac:dyDescent="0.5">
      <c r="A87" t="s">
        <v>7</v>
      </c>
      <c r="B87" t="s">
        <v>11</v>
      </c>
      <c r="C87">
        <v>41.3</v>
      </c>
      <c r="D87">
        <v>20.3</v>
      </c>
      <c r="E87">
        <v>194</v>
      </c>
      <c r="F87">
        <v>3550</v>
      </c>
      <c r="G87" t="s">
        <v>13</v>
      </c>
    </row>
    <row r="88" spans="1:7" x14ac:dyDescent="0.5">
      <c r="A88" t="s">
        <v>7</v>
      </c>
      <c r="B88" t="s">
        <v>11</v>
      </c>
      <c r="C88">
        <v>36.299999999999997</v>
      </c>
      <c r="D88">
        <v>19.5</v>
      </c>
      <c r="E88">
        <v>190</v>
      </c>
      <c r="F88">
        <v>3800</v>
      </c>
      <c r="G88" t="s">
        <v>13</v>
      </c>
    </row>
    <row r="89" spans="1:7" x14ac:dyDescent="0.5">
      <c r="A89" t="s">
        <v>7</v>
      </c>
      <c r="B89" t="s">
        <v>11</v>
      </c>
      <c r="C89">
        <v>36.9</v>
      </c>
      <c r="D89">
        <v>18.600000000000001</v>
      </c>
      <c r="E89">
        <v>189</v>
      </c>
      <c r="F89">
        <v>3500</v>
      </c>
      <c r="G89" t="s">
        <v>14</v>
      </c>
    </row>
    <row r="90" spans="1:7" x14ac:dyDescent="0.5">
      <c r="A90" t="s">
        <v>7</v>
      </c>
      <c r="B90" t="s">
        <v>11</v>
      </c>
      <c r="C90">
        <v>38.299999999999997</v>
      </c>
      <c r="D90">
        <v>19.2</v>
      </c>
      <c r="E90">
        <v>189</v>
      </c>
      <c r="F90">
        <v>3950</v>
      </c>
      <c r="G90" t="s">
        <v>13</v>
      </c>
    </row>
    <row r="91" spans="1:7" x14ac:dyDescent="0.5">
      <c r="A91" t="s">
        <v>7</v>
      </c>
      <c r="B91" t="s">
        <v>11</v>
      </c>
      <c r="C91">
        <v>38.9</v>
      </c>
      <c r="D91">
        <v>18.8</v>
      </c>
      <c r="E91">
        <v>190</v>
      </c>
      <c r="F91">
        <v>3600</v>
      </c>
      <c r="G91" t="s">
        <v>14</v>
      </c>
    </row>
    <row r="92" spans="1:7" x14ac:dyDescent="0.5">
      <c r="A92" t="s">
        <v>7</v>
      </c>
      <c r="B92" t="s">
        <v>11</v>
      </c>
      <c r="C92">
        <v>35.700000000000003</v>
      </c>
      <c r="D92">
        <v>18</v>
      </c>
      <c r="E92">
        <v>202</v>
      </c>
      <c r="F92">
        <v>3550</v>
      </c>
      <c r="G92" t="s">
        <v>14</v>
      </c>
    </row>
    <row r="93" spans="1:7" x14ac:dyDescent="0.5">
      <c r="A93" t="s">
        <v>7</v>
      </c>
      <c r="B93" t="s">
        <v>11</v>
      </c>
      <c r="C93">
        <v>41.1</v>
      </c>
      <c r="D93">
        <v>18.100000000000001</v>
      </c>
      <c r="E93">
        <v>205</v>
      </c>
      <c r="F93">
        <v>4300</v>
      </c>
      <c r="G93" t="s">
        <v>13</v>
      </c>
    </row>
    <row r="94" spans="1:7" x14ac:dyDescent="0.5">
      <c r="A94" t="s">
        <v>7</v>
      </c>
      <c r="B94" t="s">
        <v>11</v>
      </c>
      <c r="C94">
        <v>34</v>
      </c>
      <c r="D94">
        <v>17.100000000000001</v>
      </c>
      <c r="E94">
        <v>185</v>
      </c>
      <c r="F94">
        <v>3400</v>
      </c>
      <c r="G94" t="s">
        <v>14</v>
      </c>
    </row>
    <row r="95" spans="1:7" x14ac:dyDescent="0.5">
      <c r="A95" t="s">
        <v>7</v>
      </c>
      <c r="B95" t="s">
        <v>11</v>
      </c>
      <c r="C95">
        <v>39.6</v>
      </c>
      <c r="D95">
        <v>18.100000000000001</v>
      </c>
      <c r="E95">
        <v>186</v>
      </c>
      <c r="F95">
        <v>4450</v>
      </c>
      <c r="G95" t="s">
        <v>13</v>
      </c>
    </row>
    <row r="96" spans="1:7" x14ac:dyDescent="0.5">
      <c r="A96" t="s">
        <v>7</v>
      </c>
      <c r="B96" t="s">
        <v>11</v>
      </c>
      <c r="C96">
        <v>36.200000000000003</v>
      </c>
      <c r="D96">
        <v>17.3</v>
      </c>
      <c r="E96">
        <v>187</v>
      </c>
      <c r="F96">
        <v>3300</v>
      </c>
      <c r="G96" t="s">
        <v>14</v>
      </c>
    </row>
    <row r="97" spans="1:7" x14ac:dyDescent="0.5">
      <c r="A97" t="s">
        <v>7</v>
      </c>
      <c r="B97" t="s">
        <v>11</v>
      </c>
      <c r="C97">
        <v>40.799999999999997</v>
      </c>
      <c r="D97">
        <v>18.899999999999999</v>
      </c>
      <c r="E97">
        <v>208</v>
      </c>
      <c r="F97">
        <v>4300</v>
      </c>
      <c r="G97" t="s">
        <v>13</v>
      </c>
    </row>
    <row r="98" spans="1:7" x14ac:dyDescent="0.5">
      <c r="A98" t="s">
        <v>7</v>
      </c>
      <c r="B98" t="s">
        <v>11</v>
      </c>
      <c r="C98">
        <v>38.1</v>
      </c>
      <c r="D98">
        <v>18.600000000000001</v>
      </c>
      <c r="E98">
        <v>190</v>
      </c>
      <c r="F98">
        <v>3700</v>
      </c>
      <c r="G98" t="s">
        <v>14</v>
      </c>
    </row>
    <row r="99" spans="1:7" x14ac:dyDescent="0.5">
      <c r="A99" t="s">
        <v>7</v>
      </c>
      <c r="B99" t="s">
        <v>11</v>
      </c>
      <c r="C99">
        <v>40.299999999999997</v>
      </c>
      <c r="D99">
        <v>18.5</v>
      </c>
      <c r="E99">
        <v>196</v>
      </c>
      <c r="F99">
        <v>4350</v>
      </c>
      <c r="G99" t="s">
        <v>13</v>
      </c>
    </row>
    <row r="100" spans="1:7" x14ac:dyDescent="0.5">
      <c r="A100" t="s">
        <v>7</v>
      </c>
      <c r="B100" t="s">
        <v>11</v>
      </c>
      <c r="C100">
        <v>33.1</v>
      </c>
      <c r="D100">
        <v>16.100000000000001</v>
      </c>
      <c r="E100">
        <v>178</v>
      </c>
      <c r="F100">
        <v>2900</v>
      </c>
      <c r="G100" t="s">
        <v>14</v>
      </c>
    </row>
    <row r="101" spans="1:7" x14ac:dyDescent="0.5">
      <c r="A101" t="s">
        <v>7</v>
      </c>
      <c r="B101" t="s">
        <v>11</v>
      </c>
      <c r="C101">
        <v>43.2</v>
      </c>
      <c r="D101">
        <v>18.5</v>
      </c>
      <c r="E101">
        <v>192</v>
      </c>
      <c r="F101">
        <v>4100</v>
      </c>
      <c r="G101" t="s">
        <v>13</v>
      </c>
    </row>
    <row r="102" spans="1:7" x14ac:dyDescent="0.5">
      <c r="A102" t="s">
        <v>7</v>
      </c>
      <c r="B102" t="s">
        <v>9</v>
      </c>
      <c r="C102">
        <v>35</v>
      </c>
      <c r="D102">
        <v>17.899999999999999</v>
      </c>
      <c r="E102">
        <v>192</v>
      </c>
      <c r="F102">
        <v>3725</v>
      </c>
      <c r="G102" t="s">
        <v>14</v>
      </c>
    </row>
    <row r="103" spans="1:7" x14ac:dyDescent="0.5">
      <c r="A103" t="s">
        <v>7</v>
      </c>
      <c r="B103" t="s">
        <v>9</v>
      </c>
      <c r="C103">
        <v>41</v>
      </c>
      <c r="D103">
        <v>20</v>
      </c>
      <c r="E103">
        <v>203</v>
      </c>
      <c r="F103">
        <v>4725</v>
      </c>
      <c r="G103" t="s">
        <v>13</v>
      </c>
    </row>
    <row r="104" spans="1:7" x14ac:dyDescent="0.5">
      <c r="A104" t="s">
        <v>7</v>
      </c>
      <c r="B104" t="s">
        <v>9</v>
      </c>
      <c r="C104">
        <v>37.700000000000003</v>
      </c>
      <c r="D104">
        <v>16</v>
      </c>
      <c r="E104">
        <v>183</v>
      </c>
      <c r="F104">
        <v>3075</v>
      </c>
      <c r="G104" t="s">
        <v>14</v>
      </c>
    </row>
    <row r="105" spans="1:7" x14ac:dyDescent="0.5">
      <c r="A105" t="s">
        <v>7</v>
      </c>
      <c r="B105" t="s">
        <v>9</v>
      </c>
      <c r="C105">
        <v>37.799999999999997</v>
      </c>
      <c r="D105">
        <v>20</v>
      </c>
      <c r="E105">
        <v>190</v>
      </c>
      <c r="F105">
        <v>4250</v>
      </c>
      <c r="G105" t="s">
        <v>13</v>
      </c>
    </row>
    <row r="106" spans="1:7" x14ac:dyDescent="0.5">
      <c r="A106" t="s">
        <v>7</v>
      </c>
      <c r="B106" t="s">
        <v>9</v>
      </c>
      <c r="C106">
        <v>37.9</v>
      </c>
      <c r="D106">
        <v>18.600000000000001</v>
      </c>
      <c r="E106">
        <v>193</v>
      </c>
      <c r="F106">
        <v>2925</v>
      </c>
      <c r="G106" t="s">
        <v>14</v>
      </c>
    </row>
    <row r="107" spans="1:7" x14ac:dyDescent="0.5">
      <c r="A107" t="s">
        <v>7</v>
      </c>
      <c r="B107" t="s">
        <v>9</v>
      </c>
      <c r="C107">
        <v>39.700000000000003</v>
      </c>
      <c r="D107">
        <v>18.899999999999999</v>
      </c>
      <c r="E107">
        <v>184</v>
      </c>
      <c r="F107">
        <v>3550</v>
      </c>
      <c r="G107" t="s">
        <v>13</v>
      </c>
    </row>
    <row r="108" spans="1:7" x14ac:dyDescent="0.5">
      <c r="A108" t="s">
        <v>7</v>
      </c>
      <c r="B108" t="s">
        <v>9</v>
      </c>
      <c r="C108">
        <v>38.6</v>
      </c>
      <c r="D108">
        <v>17.2</v>
      </c>
      <c r="E108">
        <v>199</v>
      </c>
      <c r="F108">
        <v>3750</v>
      </c>
      <c r="G108" t="s">
        <v>14</v>
      </c>
    </row>
    <row r="109" spans="1:7" x14ac:dyDescent="0.5">
      <c r="A109" t="s">
        <v>7</v>
      </c>
      <c r="B109" t="s">
        <v>9</v>
      </c>
      <c r="C109">
        <v>38.200000000000003</v>
      </c>
      <c r="D109">
        <v>20</v>
      </c>
      <c r="E109">
        <v>190</v>
      </c>
      <c r="F109">
        <v>3900</v>
      </c>
      <c r="G109" t="s">
        <v>13</v>
      </c>
    </row>
    <row r="110" spans="1:7" x14ac:dyDescent="0.5">
      <c r="A110" t="s">
        <v>7</v>
      </c>
      <c r="B110" t="s">
        <v>9</v>
      </c>
      <c r="C110">
        <v>38.1</v>
      </c>
      <c r="D110">
        <v>17</v>
      </c>
      <c r="E110">
        <v>181</v>
      </c>
      <c r="F110">
        <v>3175</v>
      </c>
      <c r="G110" t="s">
        <v>14</v>
      </c>
    </row>
    <row r="111" spans="1:7" x14ac:dyDescent="0.5">
      <c r="A111" t="s">
        <v>7</v>
      </c>
      <c r="B111" t="s">
        <v>9</v>
      </c>
      <c r="C111">
        <v>43.2</v>
      </c>
      <c r="D111">
        <v>19</v>
      </c>
      <c r="E111">
        <v>197</v>
      </c>
      <c r="F111">
        <v>4775</v>
      </c>
      <c r="G111" t="s">
        <v>13</v>
      </c>
    </row>
    <row r="112" spans="1:7" x14ac:dyDescent="0.5">
      <c r="A112" t="s">
        <v>7</v>
      </c>
      <c r="B112" t="s">
        <v>9</v>
      </c>
      <c r="C112">
        <v>38.1</v>
      </c>
      <c r="D112">
        <v>16.5</v>
      </c>
      <c r="E112">
        <v>198</v>
      </c>
      <c r="F112">
        <v>3825</v>
      </c>
      <c r="G112" t="s">
        <v>14</v>
      </c>
    </row>
    <row r="113" spans="1:7" x14ac:dyDescent="0.5">
      <c r="A113" t="s">
        <v>7</v>
      </c>
      <c r="B113" t="s">
        <v>9</v>
      </c>
      <c r="C113">
        <v>45.6</v>
      </c>
      <c r="D113">
        <v>20.3</v>
      </c>
      <c r="E113">
        <v>191</v>
      </c>
      <c r="F113">
        <v>4600</v>
      </c>
      <c r="G113" t="s">
        <v>13</v>
      </c>
    </row>
    <row r="114" spans="1:7" x14ac:dyDescent="0.5">
      <c r="A114" t="s">
        <v>7</v>
      </c>
      <c r="B114" t="s">
        <v>9</v>
      </c>
      <c r="C114">
        <v>39.700000000000003</v>
      </c>
      <c r="D114">
        <v>17.7</v>
      </c>
      <c r="E114">
        <v>193</v>
      </c>
      <c r="F114">
        <v>3200</v>
      </c>
      <c r="G114" t="s">
        <v>14</v>
      </c>
    </row>
    <row r="115" spans="1:7" x14ac:dyDescent="0.5">
      <c r="A115" t="s">
        <v>7</v>
      </c>
      <c r="B115" t="s">
        <v>9</v>
      </c>
      <c r="C115">
        <v>42.2</v>
      </c>
      <c r="D115">
        <v>19.5</v>
      </c>
      <c r="E115">
        <v>197</v>
      </c>
      <c r="F115">
        <v>4275</v>
      </c>
      <c r="G115" t="s">
        <v>13</v>
      </c>
    </row>
    <row r="116" spans="1:7" x14ac:dyDescent="0.5">
      <c r="A116" t="s">
        <v>7</v>
      </c>
      <c r="B116" t="s">
        <v>9</v>
      </c>
      <c r="C116">
        <v>39.6</v>
      </c>
      <c r="D116">
        <v>20.7</v>
      </c>
      <c r="E116">
        <v>191</v>
      </c>
      <c r="F116">
        <v>3900</v>
      </c>
      <c r="G116" t="s">
        <v>14</v>
      </c>
    </row>
    <row r="117" spans="1:7" x14ac:dyDescent="0.5">
      <c r="A117" t="s">
        <v>7</v>
      </c>
      <c r="B117" t="s">
        <v>9</v>
      </c>
      <c r="C117">
        <v>42.7</v>
      </c>
      <c r="D117">
        <v>18.3</v>
      </c>
      <c r="E117">
        <v>196</v>
      </c>
      <c r="F117">
        <v>4075</v>
      </c>
      <c r="G117" t="s">
        <v>13</v>
      </c>
    </row>
    <row r="118" spans="1:7" x14ac:dyDescent="0.5">
      <c r="A118" t="s">
        <v>7</v>
      </c>
      <c r="B118" t="s">
        <v>8</v>
      </c>
      <c r="C118">
        <v>38.6</v>
      </c>
      <c r="D118">
        <v>17</v>
      </c>
      <c r="E118">
        <v>188</v>
      </c>
      <c r="F118">
        <v>2900</v>
      </c>
      <c r="G118" t="s">
        <v>14</v>
      </c>
    </row>
    <row r="119" spans="1:7" x14ac:dyDescent="0.5">
      <c r="A119" t="s">
        <v>7</v>
      </c>
      <c r="B119" t="s">
        <v>8</v>
      </c>
      <c r="C119">
        <v>37.299999999999997</v>
      </c>
      <c r="D119">
        <v>20.5</v>
      </c>
      <c r="E119">
        <v>199</v>
      </c>
      <c r="F119">
        <v>3775</v>
      </c>
      <c r="G119" t="s">
        <v>13</v>
      </c>
    </row>
    <row r="120" spans="1:7" x14ac:dyDescent="0.5">
      <c r="A120" t="s">
        <v>7</v>
      </c>
      <c r="B120" t="s">
        <v>8</v>
      </c>
      <c r="C120">
        <v>35.700000000000003</v>
      </c>
      <c r="D120">
        <v>17</v>
      </c>
      <c r="E120">
        <v>189</v>
      </c>
      <c r="F120">
        <v>3350</v>
      </c>
      <c r="G120" t="s">
        <v>14</v>
      </c>
    </row>
    <row r="121" spans="1:7" x14ac:dyDescent="0.5">
      <c r="A121" t="s">
        <v>7</v>
      </c>
      <c r="B121" t="s">
        <v>8</v>
      </c>
      <c r="C121">
        <v>41.1</v>
      </c>
      <c r="D121">
        <v>18.600000000000001</v>
      </c>
      <c r="E121">
        <v>189</v>
      </c>
      <c r="F121">
        <v>3325</v>
      </c>
      <c r="G121" t="s">
        <v>13</v>
      </c>
    </row>
    <row r="122" spans="1:7" x14ac:dyDescent="0.5">
      <c r="A122" t="s">
        <v>7</v>
      </c>
      <c r="B122" t="s">
        <v>8</v>
      </c>
      <c r="C122">
        <v>36.200000000000003</v>
      </c>
      <c r="D122">
        <v>17.2</v>
      </c>
      <c r="E122">
        <v>187</v>
      </c>
      <c r="F122">
        <v>3150</v>
      </c>
      <c r="G122" t="s">
        <v>14</v>
      </c>
    </row>
    <row r="123" spans="1:7" x14ac:dyDescent="0.5">
      <c r="A123" t="s">
        <v>7</v>
      </c>
      <c r="B123" t="s">
        <v>8</v>
      </c>
      <c r="C123">
        <v>37.700000000000003</v>
      </c>
      <c r="D123">
        <v>19.8</v>
      </c>
      <c r="E123">
        <v>198</v>
      </c>
      <c r="F123">
        <v>3500</v>
      </c>
      <c r="G123" t="s">
        <v>13</v>
      </c>
    </row>
    <row r="124" spans="1:7" x14ac:dyDescent="0.5">
      <c r="A124" t="s">
        <v>7</v>
      </c>
      <c r="B124" t="s">
        <v>8</v>
      </c>
      <c r="C124">
        <v>40.200000000000003</v>
      </c>
      <c r="D124">
        <v>17</v>
      </c>
      <c r="E124">
        <v>176</v>
      </c>
      <c r="F124">
        <v>3450</v>
      </c>
      <c r="G124" t="s">
        <v>14</v>
      </c>
    </row>
    <row r="125" spans="1:7" x14ac:dyDescent="0.5">
      <c r="A125" t="s">
        <v>7</v>
      </c>
      <c r="B125" t="s">
        <v>8</v>
      </c>
      <c r="C125">
        <v>41.4</v>
      </c>
      <c r="D125">
        <v>18.5</v>
      </c>
      <c r="E125">
        <v>202</v>
      </c>
      <c r="F125">
        <v>3875</v>
      </c>
      <c r="G125" t="s">
        <v>13</v>
      </c>
    </row>
    <row r="126" spans="1:7" x14ac:dyDescent="0.5">
      <c r="A126" t="s">
        <v>7</v>
      </c>
      <c r="B126" t="s">
        <v>8</v>
      </c>
      <c r="C126">
        <v>35.200000000000003</v>
      </c>
      <c r="D126">
        <v>15.9</v>
      </c>
      <c r="E126">
        <v>186</v>
      </c>
      <c r="F126">
        <v>3050</v>
      </c>
      <c r="G126" t="s">
        <v>14</v>
      </c>
    </row>
    <row r="127" spans="1:7" x14ac:dyDescent="0.5">
      <c r="A127" t="s">
        <v>7</v>
      </c>
      <c r="B127" t="s">
        <v>8</v>
      </c>
      <c r="C127">
        <v>40.6</v>
      </c>
      <c r="D127">
        <v>19</v>
      </c>
      <c r="E127">
        <v>199</v>
      </c>
      <c r="F127">
        <v>4000</v>
      </c>
      <c r="G127" t="s">
        <v>13</v>
      </c>
    </row>
    <row r="128" spans="1:7" x14ac:dyDescent="0.5">
      <c r="A128" t="s">
        <v>7</v>
      </c>
      <c r="B128" t="s">
        <v>8</v>
      </c>
      <c r="C128">
        <v>38.799999999999997</v>
      </c>
      <c r="D128">
        <v>17.600000000000001</v>
      </c>
      <c r="E128">
        <v>191</v>
      </c>
      <c r="F128">
        <v>3275</v>
      </c>
      <c r="G128" t="s">
        <v>14</v>
      </c>
    </row>
    <row r="129" spans="1:7" x14ac:dyDescent="0.5">
      <c r="A129" t="s">
        <v>7</v>
      </c>
      <c r="B129" t="s">
        <v>8</v>
      </c>
      <c r="C129">
        <v>41.5</v>
      </c>
      <c r="D129">
        <v>18.3</v>
      </c>
      <c r="E129">
        <v>195</v>
      </c>
      <c r="F129">
        <v>4300</v>
      </c>
      <c r="G129" t="s">
        <v>13</v>
      </c>
    </row>
    <row r="130" spans="1:7" x14ac:dyDescent="0.5">
      <c r="A130" t="s">
        <v>7</v>
      </c>
      <c r="B130" t="s">
        <v>8</v>
      </c>
      <c r="C130">
        <v>39</v>
      </c>
      <c r="D130">
        <v>17.100000000000001</v>
      </c>
      <c r="E130">
        <v>191</v>
      </c>
      <c r="F130">
        <v>3050</v>
      </c>
      <c r="G130" t="s">
        <v>14</v>
      </c>
    </row>
    <row r="131" spans="1:7" x14ac:dyDescent="0.5">
      <c r="A131" t="s">
        <v>7</v>
      </c>
      <c r="B131" t="s">
        <v>8</v>
      </c>
      <c r="C131">
        <v>44.1</v>
      </c>
      <c r="D131">
        <v>18</v>
      </c>
      <c r="E131">
        <v>210</v>
      </c>
      <c r="F131">
        <v>4000</v>
      </c>
      <c r="G131" t="s">
        <v>13</v>
      </c>
    </row>
    <row r="132" spans="1:7" x14ac:dyDescent="0.5">
      <c r="A132" t="s">
        <v>7</v>
      </c>
      <c r="B132" t="s">
        <v>8</v>
      </c>
      <c r="C132">
        <v>38.5</v>
      </c>
      <c r="D132">
        <v>17.899999999999999</v>
      </c>
      <c r="E132">
        <v>190</v>
      </c>
      <c r="F132">
        <v>3325</v>
      </c>
      <c r="G132" t="s">
        <v>14</v>
      </c>
    </row>
    <row r="133" spans="1:7" x14ac:dyDescent="0.5">
      <c r="A133" t="s">
        <v>7</v>
      </c>
      <c r="B133" t="s">
        <v>8</v>
      </c>
      <c r="C133">
        <v>43.1</v>
      </c>
      <c r="D133">
        <v>19.2</v>
      </c>
      <c r="E133">
        <v>197</v>
      </c>
      <c r="F133">
        <v>3500</v>
      </c>
      <c r="G133" t="s">
        <v>13</v>
      </c>
    </row>
    <row r="134" spans="1:7" x14ac:dyDescent="0.5">
      <c r="A134" t="s">
        <v>7</v>
      </c>
      <c r="B134" t="s">
        <v>11</v>
      </c>
      <c r="C134">
        <v>36.799999999999997</v>
      </c>
      <c r="D134">
        <v>18.5</v>
      </c>
      <c r="E134">
        <v>193</v>
      </c>
      <c r="F134">
        <v>3500</v>
      </c>
      <c r="G134" t="s">
        <v>14</v>
      </c>
    </row>
    <row r="135" spans="1:7" x14ac:dyDescent="0.5">
      <c r="A135" t="s">
        <v>7</v>
      </c>
      <c r="B135" t="s">
        <v>11</v>
      </c>
      <c r="C135">
        <v>37.5</v>
      </c>
      <c r="D135">
        <v>18.5</v>
      </c>
      <c r="E135">
        <v>199</v>
      </c>
      <c r="F135">
        <v>4475</v>
      </c>
      <c r="G135" t="s">
        <v>13</v>
      </c>
    </row>
    <row r="136" spans="1:7" x14ac:dyDescent="0.5">
      <c r="A136" t="s">
        <v>7</v>
      </c>
      <c r="B136" t="s">
        <v>11</v>
      </c>
      <c r="C136">
        <v>38.1</v>
      </c>
      <c r="D136">
        <v>17.600000000000001</v>
      </c>
      <c r="E136">
        <v>187</v>
      </c>
      <c r="F136">
        <v>3425</v>
      </c>
      <c r="G136" t="s">
        <v>14</v>
      </c>
    </row>
    <row r="137" spans="1:7" x14ac:dyDescent="0.5">
      <c r="A137" t="s">
        <v>7</v>
      </c>
      <c r="B137" t="s">
        <v>11</v>
      </c>
      <c r="C137">
        <v>41.1</v>
      </c>
      <c r="D137">
        <v>17.5</v>
      </c>
      <c r="E137">
        <v>190</v>
      </c>
      <c r="F137">
        <v>3900</v>
      </c>
      <c r="G137" t="s">
        <v>13</v>
      </c>
    </row>
    <row r="138" spans="1:7" x14ac:dyDescent="0.5">
      <c r="A138" t="s">
        <v>7</v>
      </c>
      <c r="B138" t="s">
        <v>11</v>
      </c>
      <c r="C138">
        <v>35.6</v>
      </c>
      <c r="D138">
        <v>17.5</v>
      </c>
      <c r="E138">
        <v>191</v>
      </c>
      <c r="F138">
        <v>3175</v>
      </c>
      <c r="G138" t="s">
        <v>14</v>
      </c>
    </row>
    <row r="139" spans="1:7" x14ac:dyDescent="0.5">
      <c r="A139" t="s">
        <v>7</v>
      </c>
      <c r="B139" t="s">
        <v>11</v>
      </c>
      <c r="C139">
        <v>40.200000000000003</v>
      </c>
      <c r="D139">
        <v>20.100000000000001</v>
      </c>
      <c r="E139">
        <v>200</v>
      </c>
      <c r="F139">
        <v>3975</v>
      </c>
      <c r="G139" t="s">
        <v>13</v>
      </c>
    </row>
    <row r="140" spans="1:7" x14ac:dyDescent="0.5">
      <c r="A140" t="s">
        <v>7</v>
      </c>
      <c r="B140" t="s">
        <v>11</v>
      </c>
      <c r="C140">
        <v>37</v>
      </c>
      <c r="D140">
        <v>16.5</v>
      </c>
      <c r="E140">
        <v>185</v>
      </c>
      <c r="F140">
        <v>3400</v>
      </c>
      <c r="G140" t="s">
        <v>14</v>
      </c>
    </row>
    <row r="141" spans="1:7" x14ac:dyDescent="0.5">
      <c r="A141" t="s">
        <v>7</v>
      </c>
      <c r="B141" t="s">
        <v>11</v>
      </c>
      <c r="C141">
        <v>39.700000000000003</v>
      </c>
      <c r="D141">
        <v>17.899999999999999</v>
      </c>
      <c r="E141">
        <v>193</v>
      </c>
      <c r="F141">
        <v>4250</v>
      </c>
      <c r="G141" t="s">
        <v>13</v>
      </c>
    </row>
    <row r="142" spans="1:7" x14ac:dyDescent="0.5">
      <c r="A142" t="s">
        <v>7</v>
      </c>
      <c r="B142" t="s">
        <v>11</v>
      </c>
      <c r="C142">
        <v>40.200000000000003</v>
      </c>
      <c r="D142">
        <v>17.100000000000001</v>
      </c>
      <c r="E142">
        <v>193</v>
      </c>
      <c r="F142">
        <v>3400</v>
      </c>
      <c r="G142" t="s">
        <v>14</v>
      </c>
    </row>
    <row r="143" spans="1:7" x14ac:dyDescent="0.5">
      <c r="A143" t="s">
        <v>7</v>
      </c>
      <c r="B143" t="s">
        <v>11</v>
      </c>
      <c r="C143">
        <v>40.6</v>
      </c>
      <c r="D143">
        <v>17.2</v>
      </c>
      <c r="E143">
        <v>187</v>
      </c>
      <c r="F143">
        <v>3475</v>
      </c>
      <c r="G143" t="s">
        <v>13</v>
      </c>
    </row>
    <row r="144" spans="1:7" x14ac:dyDescent="0.5">
      <c r="A144" t="s">
        <v>7</v>
      </c>
      <c r="B144" t="s">
        <v>11</v>
      </c>
      <c r="C144">
        <v>32.1</v>
      </c>
      <c r="D144">
        <v>15.5</v>
      </c>
      <c r="E144">
        <v>188</v>
      </c>
      <c r="F144">
        <v>3050</v>
      </c>
      <c r="G144" t="s">
        <v>14</v>
      </c>
    </row>
    <row r="145" spans="1:7" x14ac:dyDescent="0.5">
      <c r="A145" t="s">
        <v>7</v>
      </c>
      <c r="B145" t="s">
        <v>11</v>
      </c>
      <c r="C145">
        <v>40.700000000000003</v>
      </c>
      <c r="D145">
        <v>17</v>
      </c>
      <c r="E145">
        <v>190</v>
      </c>
      <c r="F145">
        <v>3725</v>
      </c>
      <c r="G145" t="s">
        <v>13</v>
      </c>
    </row>
    <row r="146" spans="1:7" x14ac:dyDescent="0.5">
      <c r="A146" t="s">
        <v>7</v>
      </c>
      <c r="B146" t="s">
        <v>11</v>
      </c>
      <c r="C146">
        <v>37.299999999999997</v>
      </c>
      <c r="D146">
        <v>16.8</v>
      </c>
      <c r="E146">
        <v>192</v>
      </c>
      <c r="F146">
        <v>3000</v>
      </c>
      <c r="G146" t="s">
        <v>14</v>
      </c>
    </row>
    <row r="147" spans="1:7" x14ac:dyDescent="0.5">
      <c r="A147" t="s">
        <v>7</v>
      </c>
      <c r="B147" t="s">
        <v>11</v>
      </c>
      <c r="C147">
        <v>39</v>
      </c>
      <c r="D147">
        <v>18.7</v>
      </c>
      <c r="E147">
        <v>185</v>
      </c>
      <c r="F147">
        <v>3650</v>
      </c>
      <c r="G147" t="s">
        <v>13</v>
      </c>
    </row>
    <row r="148" spans="1:7" x14ac:dyDescent="0.5">
      <c r="A148" t="s">
        <v>7</v>
      </c>
      <c r="B148" t="s">
        <v>11</v>
      </c>
      <c r="C148">
        <v>39.200000000000003</v>
      </c>
      <c r="D148">
        <v>18.600000000000001</v>
      </c>
      <c r="E148">
        <v>190</v>
      </c>
      <c r="F148">
        <v>4250</v>
      </c>
      <c r="G148" t="s">
        <v>13</v>
      </c>
    </row>
    <row r="149" spans="1:7" x14ac:dyDescent="0.5">
      <c r="A149" t="s">
        <v>7</v>
      </c>
      <c r="B149" t="s">
        <v>11</v>
      </c>
      <c r="C149">
        <v>36.6</v>
      </c>
      <c r="D149">
        <v>18.399999999999999</v>
      </c>
      <c r="E149">
        <v>184</v>
      </c>
      <c r="F149">
        <v>3475</v>
      </c>
      <c r="G149" t="s">
        <v>14</v>
      </c>
    </row>
    <row r="150" spans="1:7" x14ac:dyDescent="0.5">
      <c r="A150" t="s">
        <v>7</v>
      </c>
      <c r="B150" t="s">
        <v>11</v>
      </c>
      <c r="C150">
        <v>36</v>
      </c>
      <c r="D150">
        <v>17.8</v>
      </c>
      <c r="E150">
        <v>195</v>
      </c>
      <c r="F150">
        <v>3450</v>
      </c>
      <c r="G150" t="s">
        <v>14</v>
      </c>
    </row>
    <row r="151" spans="1:7" x14ac:dyDescent="0.5">
      <c r="A151" t="s">
        <v>7</v>
      </c>
      <c r="B151" t="s">
        <v>11</v>
      </c>
      <c r="C151">
        <v>37.799999999999997</v>
      </c>
      <c r="D151">
        <v>18.100000000000001</v>
      </c>
      <c r="E151">
        <v>193</v>
      </c>
      <c r="F151">
        <v>3750</v>
      </c>
      <c r="G151" t="s">
        <v>13</v>
      </c>
    </row>
    <row r="152" spans="1:7" x14ac:dyDescent="0.5">
      <c r="A152" t="s">
        <v>7</v>
      </c>
      <c r="B152" t="s">
        <v>11</v>
      </c>
      <c r="C152">
        <v>36</v>
      </c>
      <c r="D152">
        <v>17.100000000000001</v>
      </c>
      <c r="E152">
        <v>187</v>
      </c>
      <c r="F152">
        <v>3700</v>
      </c>
      <c r="G152" t="s">
        <v>14</v>
      </c>
    </row>
    <row r="153" spans="1:7" x14ac:dyDescent="0.5">
      <c r="A153" t="s">
        <v>7</v>
      </c>
      <c r="B153" t="s">
        <v>11</v>
      </c>
      <c r="C153">
        <v>41.5</v>
      </c>
      <c r="D153">
        <v>18.5</v>
      </c>
      <c r="E153">
        <v>201</v>
      </c>
      <c r="F153">
        <v>4000</v>
      </c>
      <c r="G153" t="s">
        <v>13</v>
      </c>
    </row>
    <row r="154" spans="1:7" x14ac:dyDescent="0.5">
      <c r="A154" t="s">
        <v>10</v>
      </c>
      <c r="B154" t="s">
        <v>11</v>
      </c>
      <c r="C154">
        <v>46.5</v>
      </c>
      <c r="D154">
        <v>17.899999999999999</v>
      </c>
      <c r="E154">
        <v>192</v>
      </c>
      <c r="F154">
        <v>3500</v>
      </c>
      <c r="G154" t="s">
        <v>14</v>
      </c>
    </row>
    <row r="155" spans="1:7" x14ac:dyDescent="0.5">
      <c r="A155" t="s">
        <v>10</v>
      </c>
      <c r="B155" t="s">
        <v>11</v>
      </c>
      <c r="C155">
        <v>50</v>
      </c>
      <c r="D155">
        <v>19.5</v>
      </c>
      <c r="E155">
        <v>196</v>
      </c>
      <c r="F155">
        <v>3900</v>
      </c>
      <c r="G155" t="s">
        <v>13</v>
      </c>
    </row>
    <row r="156" spans="1:7" x14ac:dyDescent="0.5">
      <c r="A156" t="s">
        <v>10</v>
      </c>
      <c r="B156" t="s">
        <v>11</v>
      </c>
      <c r="C156">
        <v>51.3</v>
      </c>
      <c r="D156">
        <v>19.2</v>
      </c>
      <c r="E156">
        <v>193</v>
      </c>
      <c r="F156">
        <v>3650</v>
      </c>
      <c r="G156" t="s">
        <v>13</v>
      </c>
    </row>
    <row r="157" spans="1:7" x14ac:dyDescent="0.5">
      <c r="A157" t="s">
        <v>10</v>
      </c>
      <c r="B157" t="s">
        <v>11</v>
      </c>
      <c r="C157">
        <v>45.4</v>
      </c>
      <c r="D157">
        <v>18.7</v>
      </c>
      <c r="E157">
        <v>188</v>
      </c>
      <c r="F157">
        <v>3525</v>
      </c>
      <c r="G157" t="s">
        <v>14</v>
      </c>
    </row>
    <row r="158" spans="1:7" x14ac:dyDescent="0.5">
      <c r="A158" t="s">
        <v>10</v>
      </c>
      <c r="B158" t="s">
        <v>11</v>
      </c>
      <c r="C158">
        <v>52.7</v>
      </c>
      <c r="D158">
        <v>19.8</v>
      </c>
      <c r="E158">
        <v>197</v>
      </c>
      <c r="F158">
        <v>3725</v>
      </c>
      <c r="G158" t="s">
        <v>13</v>
      </c>
    </row>
    <row r="159" spans="1:7" x14ac:dyDescent="0.5">
      <c r="A159" t="s">
        <v>10</v>
      </c>
      <c r="B159" t="s">
        <v>11</v>
      </c>
      <c r="C159">
        <v>45.2</v>
      </c>
      <c r="D159">
        <v>17.8</v>
      </c>
      <c r="E159">
        <v>198</v>
      </c>
      <c r="F159">
        <v>3950</v>
      </c>
      <c r="G159" t="s">
        <v>14</v>
      </c>
    </row>
    <row r="160" spans="1:7" x14ac:dyDescent="0.5">
      <c r="A160" t="s">
        <v>10</v>
      </c>
      <c r="B160" t="s">
        <v>11</v>
      </c>
      <c r="C160">
        <v>46.1</v>
      </c>
      <c r="D160">
        <v>18.2</v>
      </c>
      <c r="E160">
        <v>178</v>
      </c>
      <c r="F160">
        <v>3250</v>
      </c>
      <c r="G160" t="s">
        <v>14</v>
      </c>
    </row>
    <row r="161" spans="1:7" x14ac:dyDescent="0.5">
      <c r="A161" t="s">
        <v>10</v>
      </c>
      <c r="B161" t="s">
        <v>11</v>
      </c>
      <c r="C161">
        <v>51.3</v>
      </c>
      <c r="D161">
        <v>18.2</v>
      </c>
      <c r="E161">
        <v>197</v>
      </c>
      <c r="F161">
        <v>3750</v>
      </c>
      <c r="G161" t="s">
        <v>13</v>
      </c>
    </row>
    <row r="162" spans="1:7" x14ac:dyDescent="0.5">
      <c r="A162" t="s">
        <v>10</v>
      </c>
      <c r="B162" t="s">
        <v>11</v>
      </c>
      <c r="C162">
        <v>46</v>
      </c>
      <c r="D162">
        <v>18.899999999999999</v>
      </c>
      <c r="E162">
        <v>195</v>
      </c>
      <c r="F162">
        <v>4150</v>
      </c>
      <c r="G162" t="s">
        <v>14</v>
      </c>
    </row>
    <row r="163" spans="1:7" x14ac:dyDescent="0.5">
      <c r="A163" t="s">
        <v>10</v>
      </c>
      <c r="B163" t="s">
        <v>11</v>
      </c>
      <c r="C163">
        <v>51.3</v>
      </c>
      <c r="D163">
        <v>19.899999999999999</v>
      </c>
      <c r="E163">
        <v>198</v>
      </c>
      <c r="F163">
        <v>3700</v>
      </c>
      <c r="G163" t="s">
        <v>13</v>
      </c>
    </row>
    <row r="164" spans="1:7" x14ac:dyDescent="0.5">
      <c r="A164" t="s">
        <v>10</v>
      </c>
      <c r="B164" t="s">
        <v>11</v>
      </c>
      <c r="C164">
        <v>46.6</v>
      </c>
      <c r="D164">
        <v>17.8</v>
      </c>
      <c r="E164">
        <v>193</v>
      </c>
      <c r="F164">
        <v>3800</v>
      </c>
      <c r="G164" t="s">
        <v>14</v>
      </c>
    </row>
    <row r="165" spans="1:7" x14ac:dyDescent="0.5">
      <c r="A165" t="s">
        <v>10</v>
      </c>
      <c r="B165" t="s">
        <v>11</v>
      </c>
      <c r="C165">
        <v>51.7</v>
      </c>
      <c r="D165">
        <v>20.3</v>
      </c>
      <c r="E165">
        <v>194</v>
      </c>
      <c r="F165">
        <v>3775</v>
      </c>
      <c r="G165" t="s">
        <v>13</v>
      </c>
    </row>
    <row r="166" spans="1:7" x14ac:dyDescent="0.5">
      <c r="A166" t="s">
        <v>10</v>
      </c>
      <c r="B166" t="s">
        <v>11</v>
      </c>
      <c r="C166">
        <v>47</v>
      </c>
      <c r="D166">
        <v>17.3</v>
      </c>
      <c r="E166">
        <v>185</v>
      </c>
      <c r="F166">
        <v>3700</v>
      </c>
      <c r="G166" t="s">
        <v>14</v>
      </c>
    </row>
    <row r="167" spans="1:7" x14ac:dyDescent="0.5">
      <c r="A167" t="s">
        <v>10</v>
      </c>
      <c r="B167" t="s">
        <v>11</v>
      </c>
      <c r="C167">
        <v>52</v>
      </c>
      <c r="D167">
        <v>18.100000000000001</v>
      </c>
      <c r="E167">
        <v>201</v>
      </c>
      <c r="F167">
        <v>4050</v>
      </c>
      <c r="G167" t="s">
        <v>13</v>
      </c>
    </row>
    <row r="168" spans="1:7" x14ac:dyDescent="0.5">
      <c r="A168" t="s">
        <v>10</v>
      </c>
      <c r="B168" t="s">
        <v>11</v>
      </c>
      <c r="C168">
        <v>45.9</v>
      </c>
      <c r="D168">
        <v>17.100000000000001</v>
      </c>
      <c r="E168">
        <v>190</v>
      </c>
      <c r="F168">
        <v>3575</v>
      </c>
      <c r="G168" t="s">
        <v>14</v>
      </c>
    </row>
    <row r="169" spans="1:7" x14ac:dyDescent="0.5">
      <c r="A169" t="s">
        <v>10</v>
      </c>
      <c r="B169" t="s">
        <v>11</v>
      </c>
      <c r="C169">
        <v>50.5</v>
      </c>
      <c r="D169">
        <v>19.600000000000001</v>
      </c>
      <c r="E169">
        <v>201</v>
      </c>
      <c r="F169">
        <v>4050</v>
      </c>
      <c r="G169" t="s">
        <v>13</v>
      </c>
    </row>
    <row r="170" spans="1:7" x14ac:dyDescent="0.5">
      <c r="A170" t="s">
        <v>10</v>
      </c>
      <c r="B170" t="s">
        <v>11</v>
      </c>
      <c r="C170">
        <v>50.3</v>
      </c>
      <c r="D170">
        <v>20</v>
      </c>
      <c r="E170">
        <v>197</v>
      </c>
      <c r="F170">
        <v>3300</v>
      </c>
      <c r="G170" t="s">
        <v>13</v>
      </c>
    </row>
    <row r="171" spans="1:7" x14ac:dyDescent="0.5">
      <c r="A171" t="s">
        <v>10</v>
      </c>
      <c r="B171" t="s">
        <v>11</v>
      </c>
      <c r="C171">
        <v>58</v>
      </c>
      <c r="D171">
        <v>17.8</v>
      </c>
      <c r="E171">
        <v>181</v>
      </c>
      <c r="F171">
        <v>3700</v>
      </c>
      <c r="G171" t="s">
        <v>14</v>
      </c>
    </row>
    <row r="172" spans="1:7" x14ac:dyDescent="0.5">
      <c r="A172" t="s">
        <v>10</v>
      </c>
      <c r="B172" t="s">
        <v>11</v>
      </c>
      <c r="C172">
        <v>46.4</v>
      </c>
      <c r="D172">
        <v>18.600000000000001</v>
      </c>
      <c r="E172">
        <v>190</v>
      </c>
      <c r="F172">
        <v>3450</v>
      </c>
      <c r="G172" t="s">
        <v>14</v>
      </c>
    </row>
    <row r="173" spans="1:7" x14ac:dyDescent="0.5">
      <c r="A173" t="s">
        <v>10</v>
      </c>
      <c r="B173" t="s">
        <v>11</v>
      </c>
      <c r="C173">
        <v>49.2</v>
      </c>
      <c r="D173">
        <v>18.2</v>
      </c>
      <c r="E173">
        <v>195</v>
      </c>
      <c r="F173">
        <v>4400</v>
      </c>
      <c r="G173" t="s">
        <v>13</v>
      </c>
    </row>
    <row r="174" spans="1:7" x14ac:dyDescent="0.5">
      <c r="A174" t="s">
        <v>10</v>
      </c>
      <c r="B174" t="s">
        <v>11</v>
      </c>
      <c r="C174">
        <v>42.4</v>
      </c>
      <c r="D174">
        <v>17.3</v>
      </c>
      <c r="E174">
        <v>181</v>
      </c>
      <c r="F174">
        <v>3600</v>
      </c>
      <c r="G174" t="s">
        <v>14</v>
      </c>
    </row>
    <row r="175" spans="1:7" x14ac:dyDescent="0.5">
      <c r="A175" t="s">
        <v>10</v>
      </c>
      <c r="B175" t="s">
        <v>11</v>
      </c>
      <c r="C175">
        <v>48.5</v>
      </c>
      <c r="D175">
        <v>17.5</v>
      </c>
      <c r="E175">
        <v>191</v>
      </c>
      <c r="F175">
        <v>3400</v>
      </c>
      <c r="G175" t="s">
        <v>13</v>
      </c>
    </row>
    <row r="176" spans="1:7" x14ac:dyDescent="0.5">
      <c r="A176" t="s">
        <v>10</v>
      </c>
      <c r="B176" t="s">
        <v>11</v>
      </c>
      <c r="C176">
        <v>43.2</v>
      </c>
      <c r="D176">
        <v>16.600000000000001</v>
      </c>
      <c r="E176">
        <v>187</v>
      </c>
      <c r="F176">
        <v>2900</v>
      </c>
      <c r="G176" t="s">
        <v>14</v>
      </c>
    </row>
    <row r="177" spans="1:7" x14ac:dyDescent="0.5">
      <c r="A177" t="s">
        <v>10</v>
      </c>
      <c r="B177" t="s">
        <v>11</v>
      </c>
      <c r="C177">
        <v>50.6</v>
      </c>
      <c r="D177">
        <v>19.399999999999999</v>
      </c>
      <c r="E177">
        <v>193</v>
      </c>
      <c r="F177">
        <v>3800</v>
      </c>
      <c r="G177" t="s">
        <v>13</v>
      </c>
    </row>
    <row r="178" spans="1:7" x14ac:dyDescent="0.5">
      <c r="A178" t="s">
        <v>10</v>
      </c>
      <c r="B178" t="s">
        <v>11</v>
      </c>
      <c r="C178">
        <v>46.7</v>
      </c>
      <c r="D178">
        <v>17.899999999999999</v>
      </c>
      <c r="E178">
        <v>195</v>
      </c>
      <c r="F178">
        <v>3300</v>
      </c>
      <c r="G178" t="s">
        <v>14</v>
      </c>
    </row>
    <row r="179" spans="1:7" x14ac:dyDescent="0.5">
      <c r="A179" t="s">
        <v>10</v>
      </c>
      <c r="B179" t="s">
        <v>11</v>
      </c>
      <c r="C179">
        <v>52</v>
      </c>
      <c r="D179">
        <v>19</v>
      </c>
      <c r="E179">
        <v>197</v>
      </c>
      <c r="F179">
        <v>4150</v>
      </c>
      <c r="G179" t="s">
        <v>13</v>
      </c>
    </row>
    <row r="180" spans="1:7" x14ac:dyDescent="0.5">
      <c r="A180" t="s">
        <v>10</v>
      </c>
      <c r="B180" t="s">
        <v>11</v>
      </c>
      <c r="C180">
        <v>50.5</v>
      </c>
      <c r="D180">
        <v>18.399999999999999</v>
      </c>
      <c r="E180">
        <v>200</v>
      </c>
      <c r="F180">
        <v>3400</v>
      </c>
      <c r="G180" t="s">
        <v>14</v>
      </c>
    </row>
    <row r="181" spans="1:7" x14ac:dyDescent="0.5">
      <c r="A181" t="s">
        <v>10</v>
      </c>
      <c r="B181" t="s">
        <v>11</v>
      </c>
      <c r="C181">
        <v>49.5</v>
      </c>
      <c r="D181">
        <v>19</v>
      </c>
      <c r="E181">
        <v>200</v>
      </c>
      <c r="F181">
        <v>3800</v>
      </c>
      <c r="G181" t="s">
        <v>13</v>
      </c>
    </row>
    <row r="182" spans="1:7" x14ac:dyDescent="0.5">
      <c r="A182" t="s">
        <v>10</v>
      </c>
      <c r="B182" t="s">
        <v>11</v>
      </c>
      <c r="C182">
        <v>46.4</v>
      </c>
      <c r="D182">
        <v>17.8</v>
      </c>
      <c r="E182">
        <v>191</v>
      </c>
      <c r="F182">
        <v>3700</v>
      </c>
      <c r="G182" t="s">
        <v>14</v>
      </c>
    </row>
    <row r="183" spans="1:7" x14ac:dyDescent="0.5">
      <c r="A183" t="s">
        <v>10</v>
      </c>
      <c r="B183" t="s">
        <v>11</v>
      </c>
      <c r="C183">
        <v>52.8</v>
      </c>
      <c r="D183">
        <v>20</v>
      </c>
      <c r="E183">
        <v>205</v>
      </c>
      <c r="F183">
        <v>4550</v>
      </c>
      <c r="G183" t="s">
        <v>13</v>
      </c>
    </row>
    <row r="184" spans="1:7" x14ac:dyDescent="0.5">
      <c r="A184" t="s">
        <v>10</v>
      </c>
      <c r="B184" t="s">
        <v>11</v>
      </c>
      <c r="C184">
        <v>40.9</v>
      </c>
      <c r="D184">
        <v>16.600000000000001</v>
      </c>
      <c r="E184">
        <v>187</v>
      </c>
      <c r="F184">
        <v>3200</v>
      </c>
      <c r="G184" t="s">
        <v>14</v>
      </c>
    </row>
    <row r="185" spans="1:7" x14ac:dyDescent="0.5">
      <c r="A185" t="s">
        <v>10</v>
      </c>
      <c r="B185" t="s">
        <v>11</v>
      </c>
      <c r="C185">
        <v>54.2</v>
      </c>
      <c r="D185">
        <v>20.8</v>
      </c>
      <c r="E185">
        <v>201</v>
      </c>
      <c r="F185">
        <v>4300</v>
      </c>
      <c r="G185" t="s">
        <v>13</v>
      </c>
    </row>
    <row r="186" spans="1:7" x14ac:dyDescent="0.5">
      <c r="A186" t="s">
        <v>10</v>
      </c>
      <c r="B186" t="s">
        <v>11</v>
      </c>
      <c r="C186">
        <v>42.5</v>
      </c>
      <c r="D186">
        <v>16.7</v>
      </c>
      <c r="E186">
        <v>187</v>
      </c>
      <c r="F186">
        <v>3350</v>
      </c>
      <c r="G186" t="s">
        <v>14</v>
      </c>
    </row>
    <row r="187" spans="1:7" x14ac:dyDescent="0.5">
      <c r="A187" t="s">
        <v>10</v>
      </c>
      <c r="B187" t="s">
        <v>11</v>
      </c>
      <c r="C187">
        <v>51</v>
      </c>
      <c r="D187">
        <v>18.8</v>
      </c>
      <c r="E187">
        <v>203</v>
      </c>
      <c r="F187">
        <v>4100</v>
      </c>
      <c r="G187" t="s">
        <v>13</v>
      </c>
    </row>
    <row r="188" spans="1:7" x14ac:dyDescent="0.5">
      <c r="A188" t="s">
        <v>10</v>
      </c>
      <c r="B188" t="s">
        <v>11</v>
      </c>
      <c r="C188">
        <v>49.7</v>
      </c>
      <c r="D188">
        <v>18.600000000000001</v>
      </c>
      <c r="E188">
        <v>195</v>
      </c>
      <c r="F188">
        <v>3600</v>
      </c>
      <c r="G188" t="s">
        <v>13</v>
      </c>
    </row>
    <row r="189" spans="1:7" x14ac:dyDescent="0.5">
      <c r="A189" t="s">
        <v>10</v>
      </c>
      <c r="B189" t="s">
        <v>11</v>
      </c>
      <c r="C189">
        <v>47.5</v>
      </c>
      <c r="D189">
        <v>16.8</v>
      </c>
      <c r="E189">
        <v>199</v>
      </c>
      <c r="F189">
        <v>3900</v>
      </c>
      <c r="G189" t="s">
        <v>14</v>
      </c>
    </row>
    <row r="190" spans="1:7" x14ac:dyDescent="0.5">
      <c r="A190" t="s">
        <v>10</v>
      </c>
      <c r="B190" t="s">
        <v>11</v>
      </c>
      <c r="C190">
        <v>47.6</v>
      </c>
      <c r="D190">
        <v>18.3</v>
      </c>
      <c r="E190">
        <v>195</v>
      </c>
      <c r="F190">
        <v>3850</v>
      </c>
      <c r="G190" t="s">
        <v>14</v>
      </c>
    </row>
    <row r="191" spans="1:7" x14ac:dyDescent="0.5">
      <c r="A191" t="s">
        <v>10</v>
      </c>
      <c r="B191" t="s">
        <v>11</v>
      </c>
      <c r="C191">
        <v>52</v>
      </c>
      <c r="D191">
        <v>20.7</v>
      </c>
      <c r="E191">
        <v>210</v>
      </c>
      <c r="F191">
        <v>4800</v>
      </c>
      <c r="G191" t="s">
        <v>13</v>
      </c>
    </row>
    <row r="192" spans="1:7" x14ac:dyDescent="0.5">
      <c r="A192" t="s">
        <v>10</v>
      </c>
      <c r="B192" t="s">
        <v>11</v>
      </c>
      <c r="C192">
        <v>46.9</v>
      </c>
      <c r="D192">
        <v>16.600000000000001</v>
      </c>
      <c r="E192">
        <v>192</v>
      </c>
      <c r="F192">
        <v>2700</v>
      </c>
      <c r="G192" t="s">
        <v>14</v>
      </c>
    </row>
    <row r="193" spans="1:7" x14ac:dyDescent="0.5">
      <c r="A193" t="s">
        <v>10</v>
      </c>
      <c r="B193" t="s">
        <v>11</v>
      </c>
      <c r="C193">
        <v>53.5</v>
      </c>
      <c r="D193">
        <v>19.899999999999999</v>
      </c>
      <c r="E193">
        <v>205</v>
      </c>
      <c r="F193">
        <v>4500</v>
      </c>
      <c r="G193" t="s">
        <v>13</v>
      </c>
    </row>
    <row r="194" spans="1:7" x14ac:dyDescent="0.5">
      <c r="A194" t="s">
        <v>10</v>
      </c>
      <c r="B194" t="s">
        <v>11</v>
      </c>
      <c r="C194">
        <v>49</v>
      </c>
      <c r="D194">
        <v>19.5</v>
      </c>
      <c r="E194">
        <v>210</v>
      </c>
      <c r="F194">
        <v>3950</v>
      </c>
      <c r="G194" t="s">
        <v>13</v>
      </c>
    </row>
    <row r="195" spans="1:7" x14ac:dyDescent="0.5">
      <c r="A195" t="s">
        <v>10</v>
      </c>
      <c r="B195" t="s">
        <v>11</v>
      </c>
      <c r="C195">
        <v>46.2</v>
      </c>
      <c r="D195">
        <v>17.5</v>
      </c>
      <c r="E195">
        <v>187</v>
      </c>
      <c r="F195">
        <v>3650</v>
      </c>
      <c r="G195" t="s">
        <v>14</v>
      </c>
    </row>
    <row r="196" spans="1:7" x14ac:dyDescent="0.5">
      <c r="A196" t="s">
        <v>10</v>
      </c>
      <c r="B196" t="s">
        <v>11</v>
      </c>
      <c r="C196">
        <v>50.9</v>
      </c>
      <c r="D196">
        <v>19.100000000000001</v>
      </c>
      <c r="E196">
        <v>196</v>
      </c>
      <c r="F196">
        <v>3550</v>
      </c>
      <c r="G196" t="s">
        <v>13</v>
      </c>
    </row>
    <row r="197" spans="1:7" x14ac:dyDescent="0.5">
      <c r="A197" t="s">
        <v>10</v>
      </c>
      <c r="B197" t="s">
        <v>11</v>
      </c>
      <c r="C197">
        <v>45.5</v>
      </c>
      <c r="D197">
        <v>17</v>
      </c>
      <c r="E197">
        <v>196</v>
      </c>
      <c r="F197">
        <v>3500</v>
      </c>
      <c r="G197" t="s">
        <v>14</v>
      </c>
    </row>
    <row r="198" spans="1:7" x14ac:dyDescent="0.5">
      <c r="A198" t="s">
        <v>10</v>
      </c>
      <c r="B198" t="s">
        <v>11</v>
      </c>
      <c r="C198">
        <v>50.9</v>
      </c>
      <c r="D198">
        <v>17.899999999999999</v>
      </c>
      <c r="E198">
        <v>196</v>
      </c>
      <c r="F198">
        <v>3675</v>
      </c>
      <c r="G198" t="s">
        <v>14</v>
      </c>
    </row>
    <row r="199" spans="1:7" x14ac:dyDescent="0.5">
      <c r="A199" t="s">
        <v>10</v>
      </c>
      <c r="B199" t="s">
        <v>11</v>
      </c>
      <c r="C199">
        <v>50.8</v>
      </c>
      <c r="D199">
        <v>18.5</v>
      </c>
      <c r="E199">
        <v>201</v>
      </c>
      <c r="F199">
        <v>4450</v>
      </c>
      <c r="G199" t="s">
        <v>13</v>
      </c>
    </row>
    <row r="200" spans="1:7" x14ac:dyDescent="0.5">
      <c r="A200" t="s">
        <v>10</v>
      </c>
      <c r="B200" t="s">
        <v>11</v>
      </c>
      <c r="C200">
        <v>50.1</v>
      </c>
      <c r="D200">
        <v>17.899999999999999</v>
      </c>
      <c r="E200">
        <v>190</v>
      </c>
      <c r="F200">
        <v>3400</v>
      </c>
      <c r="G200" t="s">
        <v>14</v>
      </c>
    </row>
    <row r="201" spans="1:7" x14ac:dyDescent="0.5">
      <c r="A201" t="s">
        <v>10</v>
      </c>
      <c r="B201" t="s">
        <v>11</v>
      </c>
      <c r="C201">
        <v>49</v>
      </c>
      <c r="D201">
        <v>19.600000000000001</v>
      </c>
      <c r="E201">
        <v>212</v>
      </c>
      <c r="F201">
        <v>4300</v>
      </c>
      <c r="G201" t="s">
        <v>13</v>
      </c>
    </row>
    <row r="202" spans="1:7" x14ac:dyDescent="0.5">
      <c r="A202" t="s">
        <v>10</v>
      </c>
      <c r="B202" t="s">
        <v>11</v>
      </c>
      <c r="C202">
        <v>51.5</v>
      </c>
      <c r="D202">
        <v>18.7</v>
      </c>
      <c r="E202">
        <v>187</v>
      </c>
      <c r="F202">
        <v>3250</v>
      </c>
      <c r="G202" t="s">
        <v>13</v>
      </c>
    </row>
    <row r="203" spans="1:7" x14ac:dyDescent="0.5">
      <c r="A203" t="s">
        <v>10</v>
      </c>
      <c r="B203" t="s">
        <v>11</v>
      </c>
      <c r="C203">
        <v>49.8</v>
      </c>
      <c r="D203">
        <v>17.3</v>
      </c>
      <c r="E203">
        <v>198</v>
      </c>
      <c r="F203">
        <v>3675</v>
      </c>
      <c r="G203" t="s">
        <v>14</v>
      </c>
    </row>
    <row r="204" spans="1:7" x14ac:dyDescent="0.5">
      <c r="A204" t="s">
        <v>10</v>
      </c>
      <c r="B204" t="s">
        <v>11</v>
      </c>
      <c r="C204">
        <v>48.1</v>
      </c>
      <c r="D204">
        <v>16.399999999999999</v>
      </c>
      <c r="E204">
        <v>199</v>
      </c>
      <c r="F204">
        <v>3325</v>
      </c>
      <c r="G204" t="s">
        <v>14</v>
      </c>
    </row>
    <row r="205" spans="1:7" x14ac:dyDescent="0.5">
      <c r="A205" t="s">
        <v>10</v>
      </c>
      <c r="B205" t="s">
        <v>11</v>
      </c>
      <c r="C205">
        <v>51.4</v>
      </c>
      <c r="D205">
        <v>19</v>
      </c>
      <c r="E205">
        <v>201</v>
      </c>
      <c r="F205">
        <v>3950</v>
      </c>
      <c r="G205" t="s">
        <v>13</v>
      </c>
    </row>
    <row r="206" spans="1:7" x14ac:dyDescent="0.5">
      <c r="A206" t="s">
        <v>10</v>
      </c>
      <c r="B206" t="s">
        <v>11</v>
      </c>
      <c r="C206">
        <v>45.7</v>
      </c>
      <c r="D206">
        <v>17.3</v>
      </c>
      <c r="E206">
        <v>193</v>
      </c>
      <c r="F206">
        <v>3600</v>
      </c>
      <c r="G206" t="s">
        <v>14</v>
      </c>
    </row>
    <row r="207" spans="1:7" x14ac:dyDescent="0.5">
      <c r="A207" t="s">
        <v>10</v>
      </c>
      <c r="B207" t="s">
        <v>11</v>
      </c>
      <c r="C207">
        <v>50.7</v>
      </c>
      <c r="D207">
        <v>19.7</v>
      </c>
      <c r="E207">
        <v>203</v>
      </c>
      <c r="F207">
        <v>4050</v>
      </c>
      <c r="G207" t="s">
        <v>13</v>
      </c>
    </row>
    <row r="208" spans="1:7" x14ac:dyDescent="0.5">
      <c r="A208" t="s">
        <v>10</v>
      </c>
      <c r="B208" t="s">
        <v>11</v>
      </c>
      <c r="C208">
        <v>42.5</v>
      </c>
      <c r="D208">
        <v>17.3</v>
      </c>
      <c r="E208">
        <v>187</v>
      </c>
      <c r="F208">
        <v>3350</v>
      </c>
      <c r="G208" t="s">
        <v>14</v>
      </c>
    </row>
    <row r="209" spans="1:7" x14ac:dyDescent="0.5">
      <c r="A209" t="s">
        <v>10</v>
      </c>
      <c r="B209" t="s">
        <v>11</v>
      </c>
      <c r="C209">
        <v>52.2</v>
      </c>
      <c r="D209">
        <v>18.8</v>
      </c>
      <c r="E209">
        <v>197</v>
      </c>
      <c r="F209">
        <v>3450</v>
      </c>
      <c r="G209" t="s">
        <v>13</v>
      </c>
    </row>
    <row r="210" spans="1:7" x14ac:dyDescent="0.5">
      <c r="A210" t="s">
        <v>10</v>
      </c>
      <c r="B210" t="s">
        <v>11</v>
      </c>
      <c r="C210">
        <v>45.2</v>
      </c>
      <c r="D210">
        <v>16.600000000000001</v>
      </c>
      <c r="E210">
        <v>191</v>
      </c>
      <c r="F210">
        <v>3250</v>
      </c>
      <c r="G210" t="s">
        <v>14</v>
      </c>
    </row>
    <row r="211" spans="1:7" x14ac:dyDescent="0.5">
      <c r="A211" t="s">
        <v>10</v>
      </c>
      <c r="B211" t="s">
        <v>11</v>
      </c>
      <c r="C211">
        <v>49.3</v>
      </c>
      <c r="D211">
        <v>19.899999999999999</v>
      </c>
      <c r="E211">
        <v>203</v>
      </c>
      <c r="F211">
        <v>4050</v>
      </c>
      <c r="G211" t="s">
        <v>13</v>
      </c>
    </row>
    <row r="212" spans="1:7" x14ac:dyDescent="0.5">
      <c r="A212" t="s">
        <v>10</v>
      </c>
      <c r="B212" t="s">
        <v>11</v>
      </c>
      <c r="C212">
        <v>50.2</v>
      </c>
      <c r="D212">
        <v>18.8</v>
      </c>
      <c r="E212">
        <v>202</v>
      </c>
      <c r="F212">
        <v>3800</v>
      </c>
      <c r="G212" t="s">
        <v>13</v>
      </c>
    </row>
    <row r="213" spans="1:7" x14ac:dyDescent="0.5">
      <c r="A213" t="s">
        <v>10</v>
      </c>
      <c r="B213" t="s">
        <v>11</v>
      </c>
      <c r="C213">
        <v>45.6</v>
      </c>
      <c r="D213">
        <v>19.399999999999999</v>
      </c>
      <c r="E213">
        <v>194</v>
      </c>
      <c r="F213">
        <v>3525</v>
      </c>
      <c r="G213" t="s">
        <v>14</v>
      </c>
    </row>
    <row r="214" spans="1:7" x14ac:dyDescent="0.5">
      <c r="A214" t="s">
        <v>10</v>
      </c>
      <c r="B214" t="s">
        <v>11</v>
      </c>
      <c r="C214">
        <v>51.9</v>
      </c>
      <c r="D214">
        <v>19.5</v>
      </c>
      <c r="E214">
        <v>206</v>
      </c>
      <c r="F214">
        <v>3950</v>
      </c>
      <c r="G214" t="s">
        <v>13</v>
      </c>
    </row>
    <row r="215" spans="1:7" x14ac:dyDescent="0.5">
      <c r="A215" t="s">
        <v>10</v>
      </c>
      <c r="B215" t="s">
        <v>11</v>
      </c>
      <c r="C215">
        <v>46.8</v>
      </c>
      <c r="D215">
        <v>16.5</v>
      </c>
      <c r="E215">
        <v>189</v>
      </c>
      <c r="F215">
        <v>3650</v>
      </c>
      <c r="G215" t="s">
        <v>14</v>
      </c>
    </row>
    <row r="216" spans="1:7" x14ac:dyDescent="0.5">
      <c r="A216" t="s">
        <v>10</v>
      </c>
      <c r="B216" t="s">
        <v>11</v>
      </c>
      <c r="C216">
        <v>45.7</v>
      </c>
      <c r="D216">
        <v>17</v>
      </c>
      <c r="E216">
        <v>195</v>
      </c>
      <c r="F216">
        <v>3650</v>
      </c>
      <c r="G216" t="s">
        <v>14</v>
      </c>
    </row>
    <row r="217" spans="1:7" x14ac:dyDescent="0.5">
      <c r="A217" t="s">
        <v>10</v>
      </c>
      <c r="B217" t="s">
        <v>11</v>
      </c>
      <c r="C217">
        <v>55.8</v>
      </c>
      <c r="D217">
        <v>19.8</v>
      </c>
      <c r="E217">
        <v>207</v>
      </c>
      <c r="F217">
        <v>4000</v>
      </c>
      <c r="G217" t="s">
        <v>13</v>
      </c>
    </row>
    <row r="218" spans="1:7" x14ac:dyDescent="0.5">
      <c r="A218" t="s">
        <v>10</v>
      </c>
      <c r="B218" t="s">
        <v>11</v>
      </c>
      <c r="C218">
        <v>43.5</v>
      </c>
      <c r="D218">
        <v>18.100000000000001</v>
      </c>
      <c r="E218">
        <v>202</v>
      </c>
      <c r="F218">
        <v>3400</v>
      </c>
      <c r="G218" t="s">
        <v>14</v>
      </c>
    </row>
    <row r="219" spans="1:7" x14ac:dyDescent="0.5">
      <c r="A219" t="s">
        <v>10</v>
      </c>
      <c r="B219" t="s">
        <v>11</v>
      </c>
      <c r="C219">
        <v>49.6</v>
      </c>
      <c r="D219">
        <v>18.2</v>
      </c>
      <c r="E219">
        <v>193</v>
      </c>
      <c r="F219">
        <v>3775</v>
      </c>
      <c r="G219" t="s">
        <v>13</v>
      </c>
    </row>
    <row r="220" spans="1:7" x14ac:dyDescent="0.5">
      <c r="A220" t="s">
        <v>10</v>
      </c>
      <c r="B220" t="s">
        <v>11</v>
      </c>
      <c r="C220">
        <v>50.8</v>
      </c>
      <c r="D220">
        <v>19</v>
      </c>
      <c r="E220">
        <v>210</v>
      </c>
      <c r="F220">
        <v>4100</v>
      </c>
      <c r="G220" t="s">
        <v>13</v>
      </c>
    </row>
    <row r="221" spans="1:7" x14ac:dyDescent="0.5">
      <c r="A221" t="s">
        <v>10</v>
      </c>
      <c r="B221" t="s">
        <v>11</v>
      </c>
      <c r="C221">
        <v>50.2</v>
      </c>
      <c r="D221">
        <v>18.7</v>
      </c>
      <c r="E221">
        <v>198</v>
      </c>
      <c r="F221">
        <v>3775</v>
      </c>
      <c r="G221" t="s">
        <v>14</v>
      </c>
    </row>
    <row r="222" spans="1:7" x14ac:dyDescent="0.5">
      <c r="A222" t="s">
        <v>12</v>
      </c>
      <c r="B222" t="s">
        <v>9</v>
      </c>
      <c r="C222">
        <v>46.1</v>
      </c>
      <c r="D222">
        <v>13.2</v>
      </c>
      <c r="E222">
        <v>211</v>
      </c>
      <c r="F222">
        <v>4500</v>
      </c>
      <c r="G222" t="s">
        <v>14</v>
      </c>
    </row>
    <row r="223" spans="1:7" x14ac:dyDescent="0.5">
      <c r="A223" t="s">
        <v>12</v>
      </c>
      <c r="B223" t="s">
        <v>9</v>
      </c>
      <c r="C223">
        <v>50</v>
      </c>
      <c r="D223">
        <v>16.3</v>
      </c>
      <c r="E223">
        <v>230</v>
      </c>
      <c r="F223">
        <v>5700</v>
      </c>
      <c r="G223" t="s">
        <v>13</v>
      </c>
    </row>
    <row r="224" spans="1:7" x14ac:dyDescent="0.5">
      <c r="A224" t="s">
        <v>12</v>
      </c>
      <c r="B224" t="s">
        <v>9</v>
      </c>
      <c r="C224">
        <v>48.7</v>
      </c>
      <c r="D224">
        <v>14.1</v>
      </c>
      <c r="E224">
        <v>210</v>
      </c>
      <c r="F224">
        <v>4450</v>
      </c>
      <c r="G224" t="s">
        <v>14</v>
      </c>
    </row>
    <row r="225" spans="1:7" x14ac:dyDescent="0.5">
      <c r="A225" t="s">
        <v>12</v>
      </c>
      <c r="B225" t="s">
        <v>9</v>
      </c>
      <c r="C225">
        <v>50</v>
      </c>
      <c r="D225">
        <v>15.2</v>
      </c>
      <c r="E225">
        <v>218</v>
      </c>
      <c r="F225">
        <v>5700</v>
      </c>
      <c r="G225" t="s">
        <v>13</v>
      </c>
    </row>
    <row r="226" spans="1:7" x14ac:dyDescent="0.5">
      <c r="A226" t="s">
        <v>12</v>
      </c>
      <c r="B226" t="s">
        <v>9</v>
      </c>
      <c r="C226">
        <v>47.6</v>
      </c>
      <c r="D226">
        <v>14.5</v>
      </c>
      <c r="E226">
        <v>215</v>
      </c>
      <c r="F226">
        <v>5400</v>
      </c>
      <c r="G226" t="s">
        <v>13</v>
      </c>
    </row>
    <row r="227" spans="1:7" x14ac:dyDescent="0.5">
      <c r="A227" t="s">
        <v>12</v>
      </c>
      <c r="B227" t="s">
        <v>9</v>
      </c>
      <c r="C227">
        <v>46.5</v>
      </c>
      <c r="D227">
        <v>13.5</v>
      </c>
      <c r="E227">
        <v>210</v>
      </c>
      <c r="F227">
        <v>4550</v>
      </c>
      <c r="G227" t="s">
        <v>14</v>
      </c>
    </row>
    <row r="228" spans="1:7" x14ac:dyDescent="0.5">
      <c r="A228" t="s">
        <v>12</v>
      </c>
      <c r="B228" t="s">
        <v>9</v>
      </c>
      <c r="C228">
        <v>45.4</v>
      </c>
      <c r="D228">
        <v>14.6</v>
      </c>
      <c r="E228">
        <v>211</v>
      </c>
      <c r="F228">
        <v>4800</v>
      </c>
      <c r="G228" t="s">
        <v>14</v>
      </c>
    </row>
    <row r="229" spans="1:7" x14ac:dyDescent="0.5">
      <c r="A229" t="s">
        <v>12</v>
      </c>
      <c r="B229" t="s">
        <v>9</v>
      </c>
      <c r="C229">
        <v>46.7</v>
      </c>
      <c r="D229">
        <v>15.3</v>
      </c>
      <c r="E229">
        <v>219</v>
      </c>
      <c r="F229">
        <v>5200</v>
      </c>
      <c r="G229" t="s">
        <v>13</v>
      </c>
    </row>
    <row r="230" spans="1:7" x14ac:dyDescent="0.5">
      <c r="A230" t="s">
        <v>12</v>
      </c>
      <c r="B230" t="s">
        <v>9</v>
      </c>
      <c r="C230">
        <v>43.3</v>
      </c>
      <c r="D230">
        <v>13.4</v>
      </c>
      <c r="E230">
        <v>209</v>
      </c>
      <c r="F230">
        <v>4400</v>
      </c>
      <c r="G230" t="s">
        <v>14</v>
      </c>
    </row>
    <row r="231" spans="1:7" x14ac:dyDescent="0.5">
      <c r="A231" t="s">
        <v>12</v>
      </c>
      <c r="B231" t="s">
        <v>9</v>
      </c>
      <c r="C231">
        <v>46.8</v>
      </c>
      <c r="D231">
        <v>15.4</v>
      </c>
      <c r="E231">
        <v>215</v>
      </c>
      <c r="F231">
        <v>5150</v>
      </c>
      <c r="G231" t="s">
        <v>13</v>
      </c>
    </row>
    <row r="232" spans="1:7" x14ac:dyDescent="0.5">
      <c r="A232" t="s">
        <v>12</v>
      </c>
      <c r="B232" t="s">
        <v>9</v>
      </c>
      <c r="C232">
        <v>40.9</v>
      </c>
      <c r="D232">
        <v>13.7</v>
      </c>
      <c r="E232">
        <v>214</v>
      </c>
      <c r="F232">
        <v>4650</v>
      </c>
      <c r="G232" t="s">
        <v>14</v>
      </c>
    </row>
    <row r="233" spans="1:7" x14ac:dyDescent="0.5">
      <c r="A233" t="s">
        <v>12</v>
      </c>
      <c r="B233" t="s">
        <v>9</v>
      </c>
      <c r="C233">
        <v>49</v>
      </c>
      <c r="D233">
        <v>16.100000000000001</v>
      </c>
      <c r="E233">
        <v>216</v>
      </c>
      <c r="F233">
        <v>5550</v>
      </c>
      <c r="G233" t="s">
        <v>13</v>
      </c>
    </row>
    <row r="234" spans="1:7" x14ac:dyDescent="0.5">
      <c r="A234" t="s">
        <v>12</v>
      </c>
      <c r="B234" t="s">
        <v>9</v>
      </c>
      <c r="C234">
        <v>45.5</v>
      </c>
      <c r="D234">
        <v>13.7</v>
      </c>
      <c r="E234">
        <v>214</v>
      </c>
      <c r="F234">
        <v>4650</v>
      </c>
      <c r="G234" t="s">
        <v>14</v>
      </c>
    </row>
    <row r="235" spans="1:7" x14ac:dyDescent="0.5">
      <c r="A235" t="s">
        <v>12</v>
      </c>
      <c r="B235" t="s">
        <v>9</v>
      </c>
      <c r="C235">
        <v>48.4</v>
      </c>
      <c r="D235">
        <v>14.6</v>
      </c>
      <c r="E235">
        <v>213</v>
      </c>
      <c r="F235">
        <v>5850</v>
      </c>
      <c r="G235" t="s">
        <v>13</v>
      </c>
    </row>
    <row r="236" spans="1:7" x14ac:dyDescent="0.5">
      <c r="A236" t="s">
        <v>12</v>
      </c>
      <c r="B236" t="s">
        <v>9</v>
      </c>
      <c r="C236">
        <v>45.8</v>
      </c>
      <c r="D236">
        <v>14.6</v>
      </c>
      <c r="E236">
        <v>210</v>
      </c>
      <c r="F236">
        <v>4200</v>
      </c>
      <c r="G236" t="s">
        <v>14</v>
      </c>
    </row>
    <row r="237" spans="1:7" x14ac:dyDescent="0.5">
      <c r="A237" t="s">
        <v>12</v>
      </c>
      <c r="B237" t="s">
        <v>9</v>
      </c>
      <c r="C237">
        <v>49.3</v>
      </c>
      <c r="D237">
        <v>15.7</v>
      </c>
      <c r="E237">
        <v>217</v>
      </c>
      <c r="F237">
        <v>5850</v>
      </c>
      <c r="G237" t="s">
        <v>13</v>
      </c>
    </row>
    <row r="238" spans="1:7" x14ac:dyDescent="0.5">
      <c r="A238" t="s">
        <v>12</v>
      </c>
      <c r="B238" t="s">
        <v>9</v>
      </c>
      <c r="C238">
        <v>42</v>
      </c>
      <c r="D238">
        <v>13.5</v>
      </c>
      <c r="E238">
        <v>210</v>
      </c>
      <c r="F238">
        <v>4150</v>
      </c>
      <c r="G238" t="s">
        <v>14</v>
      </c>
    </row>
    <row r="239" spans="1:7" x14ac:dyDescent="0.5">
      <c r="A239" t="s">
        <v>12</v>
      </c>
      <c r="B239" t="s">
        <v>9</v>
      </c>
      <c r="C239">
        <v>49.2</v>
      </c>
      <c r="D239">
        <v>15.2</v>
      </c>
      <c r="E239">
        <v>221</v>
      </c>
      <c r="F239">
        <v>6300</v>
      </c>
      <c r="G239" t="s">
        <v>13</v>
      </c>
    </row>
    <row r="240" spans="1:7" x14ac:dyDescent="0.5">
      <c r="A240" t="s">
        <v>12</v>
      </c>
      <c r="B240" t="s">
        <v>9</v>
      </c>
      <c r="C240">
        <v>46.2</v>
      </c>
      <c r="D240">
        <v>14.5</v>
      </c>
      <c r="E240">
        <v>209</v>
      </c>
      <c r="F240">
        <v>4800</v>
      </c>
      <c r="G240" t="s">
        <v>14</v>
      </c>
    </row>
    <row r="241" spans="1:7" x14ac:dyDescent="0.5">
      <c r="A241" t="s">
        <v>12</v>
      </c>
      <c r="B241" t="s">
        <v>9</v>
      </c>
      <c r="C241">
        <v>48.7</v>
      </c>
      <c r="D241">
        <v>15.1</v>
      </c>
      <c r="E241">
        <v>222</v>
      </c>
      <c r="F241">
        <v>5350</v>
      </c>
      <c r="G241" t="s">
        <v>13</v>
      </c>
    </row>
    <row r="242" spans="1:7" x14ac:dyDescent="0.5">
      <c r="A242" t="s">
        <v>12</v>
      </c>
      <c r="B242" t="s">
        <v>9</v>
      </c>
      <c r="C242">
        <v>50.2</v>
      </c>
      <c r="D242">
        <v>14.3</v>
      </c>
      <c r="E242">
        <v>218</v>
      </c>
      <c r="F242">
        <v>5700</v>
      </c>
      <c r="G242" t="s">
        <v>13</v>
      </c>
    </row>
    <row r="243" spans="1:7" x14ac:dyDescent="0.5">
      <c r="A243" t="s">
        <v>12</v>
      </c>
      <c r="B243" t="s">
        <v>9</v>
      </c>
      <c r="C243">
        <v>45.1</v>
      </c>
      <c r="D243">
        <v>14.5</v>
      </c>
      <c r="E243">
        <v>215</v>
      </c>
      <c r="F243">
        <v>5000</v>
      </c>
      <c r="G243" t="s">
        <v>14</v>
      </c>
    </row>
    <row r="244" spans="1:7" x14ac:dyDescent="0.5">
      <c r="A244" t="s">
        <v>12</v>
      </c>
      <c r="B244" t="s">
        <v>9</v>
      </c>
      <c r="C244">
        <v>46.5</v>
      </c>
      <c r="D244">
        <v>14.5</v>
      </c>
      <c r="E244">
        <v>213</v>
      </c>
      <c r="F244">
        <v>4400</v>
      </c>
      <c r="G244" t="s">
        <v>14</v>
      </c>
    </row>
    <row r="245" spans="1:7" x14ac:dyDescent="0.5">
      <c r="A245" t="s">
        <v>12</v>
      </c>
      <c r="B245" t="s">
        <v>9</v>
      </c>
      <c r="C245">
        <v>46.3</v>
      </c>
      <c r="D245">
        <v>15.8</v>
      </c>
      <c r="E245">
        <v>215</v>
      </c>
      <c r="F245">
        <v>5050</v>
      </c>
      <c r="G245" t="s">
        <v>13</v>
      </c>
    </row>
    <row r="246" spans="1:7" x14ac:dyDescent="0.5">
      <c r="A246" t="s">
        <v>12</v>
      </c>
      <c r="B246" t="s">
        <v>9</v>
      </c>
      <c r="C246">
        <v>42.9</v>
      </c>
      <c r="D246">
        <v>13.1</v>
      </c>
      <c r="E246">
        <v>215</v>
      </c>
      <c r="F246">
        <v>5000</v>
      </c>
      <c r="G246" t="s">
        <v>14</v>
      </c>
    </row>
    <row r="247" spans="1:7" x14ac:dyDescent="0.5">
      <c r="A247" t="s">
        <v>12</v>
      </c>
      <c r="B247" t="s">
        <v>9</v>
      </c>
      <c r="C247">
        <v>46.1</v>
      </c>
      <c r="D247">
        <v>15.1</v>
      </c>
      <c r="E247">
        <v>215</v>
      </c>
      <c r="F247">
        <v>5100</v>
      </c>
      <c r="G247" t="s">
        <v>13</v>
      </c>
    </row>
    <row r="248" spans="1:7" x14ac:dyDescent="0.5">
      <c r="A248" t="s">
        <v>12</v>
      </c>
      <c r="B248" t="s">
        <v>9</v>
      </c>
      <c r="C248">
        <v>44.5</v>
      </c>
      <c r="D248">
        <v>14.3</v>
      </c>
      <c r="E248">
        <v>216</v>
      </c>
      <c r="F248">
        <v>4100</v>
      </c>
      <c r="G248" t="s">
        <v>15</v>
      </c>
    </row>
    <row r="249" spans="1:7" x14ac:dyDescent="0.5">
      <c r="A249" t="s">
        <v>12</v>
      </c>
      <c r="B249" t="s">
        <v>9</v>
      </c>
      <c r="C249">
        <v>47.8</v>
      </c>
      <c r="D249">
        <v>15</v>
      </c>
      <c r="E249">
        <v>215</v>
      </c>
      <c r="F249">
        <v>5650</v>
      </c>
      <c r="G249" t="s">
        <v>13</v>
      </c>
    </row>
    <row r="250" spans="1:7" x14ac:dyDescent="0.5">
      <c r="A250" t="s">
        <v>12</v>
      </c>
      <c r="B250" t="s">
        <v>9</v>
      </c>
      <c r="C250">
        <v>48.2</v>
      </c>
      <c r="D250">
        <v>14.3</v>
      </c>
      <c r="E250">
        <v>210</v>
      </c>
      <c r="F250">
        <v>4600</v>
      </c>
      <c r="G250" t="s">
        <v>14</v>
      </c>
    </row>
    <row r="251" spans="1:7" x14ac:dyDescent="0.5">
      <c r="A251" t="s">
        <v>12</v>
      </c>
      <c r="B251" t="s">
        <v>9</v>
      </c>
      <c r="C251">
        <v>50</v>
      </c>
      <c r="D251">
        <v>15.3</v>
      </c>
      <c r="E251">
        <v>220</v>
      </c>
      <c r="F251">
        <v>5550</v>
      </c>
      <c r="G251" t="s">
        <v>13</v>
      </c>
    </row>
    <row r="252" spans="1:7" x14ac:dyDescent="0.5">
      <c r="A252" t="s">
        <v>12</v>
      </c>
      <c r="B252" t="s">
        <v>9</v>
      </c>
      <c r="C252">
        <v>47.3</v>
      </c>
      <c r="D252">
        <v>15.3</v>
      </c>
      <c r="E252">
        <v>222</v>
      </c>
      <c r="F252">
        <v>5250</v>
      </c>
      <c r="G252" t="s">
        <v>13</v>
      </c>
    </row>
    <row r="253" spans="1:7" x14ac:dyDescent="0.5">
      <c r="A253" t="s">
        <v>12</v>
      </c>
      <c r="B253" t="s">
        <v>9</v>
      </c>
      <c r="C253">
        <v>42.8</v>
      </c>
      <c r="D253">
        <v>14.2</v>
      </c>
      <c r="E253">
        <v>209</v>
      </c>
      <c r="F253">
        <v>4700</v>
      </c>
      <c r="G253" t="s">
        <v>14</v>
      </c>
    </row>
    <row r="254" spans="1:7" x14ac:dyDescent="0.5">
      <c r="A254" t="s">
        <v>12</v>
      </c>
      <c r="B254" t="s">
        <v>9</v>
      </c>
      <c r="C254">
        <v>45.1</v>
      </c>
      <c r="D254">
        <v>14.5</v>
      </c>
      <c r="E254">
        <v>207</v>
      </c>
      <c r="F254">
        <v>5050</v>
      </c>
      <c r="G254" t="s">
        <v>14</v>
      </c>
    </row>
    <row r="255" spans="1:7" x14ac:dyDescent="0.5">
      <c r="A255" t="s">
        <v>12</v>
      </c>
      <c r="B255" t="s">
        <v>9</v>
      </c>
      <c r="C255">
        <v>59.6</v>
      </c>
      <c r="D255">
        <v>17</v>
      </c>
      <c r="E255">
        <v>230</v>
      </c>
      <c r="F255">
        <v>6050</v>
      </c>
      <c r="G255" t="s">
        <v>13</v>
      </c>
    </row>
    <row r="256" spans="1:7" x14ac:dyDescent="0.5">
      <c r="A256" t="s">
        <v>12</v>
      </c>
      <c r="B256" t="s">
        <v>9</v>
      </c>
      <c r="C256">
        <v>49.1</v>
      </c>
      <c r="D256">
        <v>14.8</v>
      </c>
      <c r="E256">
        <v>220</v>
      </c>
      <c r="F256">
        <v>5150</v>
      </c>
      <c r="G256" t="s">
        <v>14</v>
      </c>
    </row>
    <row r="257" spans="1:7" x14ac:dyDescent="0.5">
      <c r="A257" t="s">
        <v>12</v>
      </c>
      <c r="B257" t="s">
        <v>9</v>
      </c>
      <c r="C257">
        <v>48.4</v>
      </c>
      <c r="D257">
        <v>16.3</v>
      </c>
      <c r="E257">
        <v>220</v>
      </c>
      <c r="F257">
        <v>5400</v>
      </c>
      <c r="G257" t="s">
        <v>13</v>
      </c>
    </row>
    <row r="258" spans="1:7" x14ac:dyDescent="0.5">
      <c r="A258" t="s">
        <v>12</v>
      </c>
      <c r="B258" t="s">
        <v>9</v>
      </c>
      <c r="C258">
        <v>42.6</v>
      </c>
      <c r="D258">
        <v>13.7</v>
      </c>
      <c r="E258">
        <v>213</v>
      </c>
      <c r="F258">
        <v>4950</v>
      </c>
      <c r="G258" t="s">
        <v>14</v>
      </c>
    </row>
    <row r="259" spans="1:7" x14ac:dyDescent="0.5">
      <c r="A259" t="s">
        <v>12</v>
      </c>
      <c r="B259" t="s">
        <v>9</v>
      </c>
      <c r="C259">
        <v>44.4</v>
      </c>
      <c r="D259">
        <v>17.3</v>
      </c>
      <c r="E259">
        <v>219</v>
      </c>
      <c r="F259">
        <v>5250</v>
      </c>
      <c r="G259" t="s">
        <v>13</v>
      </c>
    </row>
    <row r="260" spans="1:7" x14ac:dyDescent="0.5">
      <c r="A260" t="s">
        <v>12</v>
      </c>
      <c r="B260" t="s">
        <v>9</v>
      </c>
      <c r="C260">
        <v>44</v>
      </c>
      <c r="D260">
        <v>13.6</v>
      </c>
      <c r="E260">
        <v>208</v>
      </c>
      <c r="F260">
        <v>4350</v>
      </c>
      <c r="G260" t="s">
        <v>14</v>
      </c>
    </row>
    <row r="261" spans="1:7" x14ac:dyDescent="0.5">
      <c r="A261" t="s">
        <v>12</v>
      </c>
      <c r="B261" t="s">
        <v>9</v>
      </c>
      <c r="C261">
        <v>48.7</v>
      </c>
      <c r="D261">
        <v>15.7</v>
      </c>
      <c r="E261">
        <v>208</v>
      </c>
      <c r="F261">
        <v>5350</v>
      </c>
      <c r="G261" t="s">
        <v>13</v>
      </c>
    </row>
    <row r="262" spans="1:7" x14ac:dyDescent="0.5">
      <c r="A262" t="s">
        <v>12</v>
      </c>
      <c r="B262" t="s">
        <v>9</v>
      </c>
      <c r="C262">
        <v>42.7</v>
      </c>
      <c r="D262">
        <v>13.7</v>
      </c>
      <c r="E262">
        <v>208</v>
      </c>
      <c r="F262">
        <v>3950</v>
      </c>
      <c r="G262" t="s">
        <v>14</v>
      </c>
    </row>
    <row r="263" spans="1:7" x14ac:dyDescent="0.5">
      <c r="A263" t="s">
        <v>12</v>
      </c>
      <c r="B263" t="s">
        <v>9</v>
      </c>
      <c r="C263">
        <v>49.6</v>
      </c>
      <c r="D263">
        <v>16</v>
      </c>
      <c r="E263">
        <v>225</v>
      </c>
      <c r="F263">
        <v>5700</v>
      </c>
      <c r="G263" t="s">
        <v>13</v>
      </c>
    </row>
    <row r="264" spans="1:7" x14ac:dyDescent="0.5">
      <c r="A264" t="s">
        <v>12</v>
      </c>
      <c r="B264" t="s">
        <v>9</v>
      </c>
      <c r="C264">
        <v>45.3</v>
      </c>
      <c r="D264">
        <v>13.7</v>
      </c>
      <c r="E264">
        <v>210</v>
      </c>
      <c r="F264">
        <v>4300</v>
      </c>
      <c r="G264" t="s">
        <v>14</v>
      </c>
    </row>
    <row r="265" spans="1:7" x14ac:dyDescent="0.5">
      <c r="A265" t="s">
        <v>12</v>
      </c>
      <c r="B265" t="s">
        <v>9</v>
      </c>
      <c r="C265">
        <v>49.6</v>
      </c>
      <c r="D265">
        <v>15</v>
      </c>
      <c r="E265">
        <v>216</v>
      </c>
      <c r="F265">
        <v>4750</v>
      </c>
      <c r="G265" t="s">
        <v>13</v>
      </c>
    </row>
    <row r="266" spans="1:7" x14ac:dyDescent="0.5">
      <c r="A266" t="s">
        <v>12</v>
      </c>
      <c r="B266" t="s">
        <v>9</v>
      </c>
      <c r="C266">
        <v>50.5</v>
      </c>
      <c r="D266">
        <v>15.9</v>
      </c>
      <c r="E266">
        <v>222</v>
      </c>
      <c r="F266">
        <v>5550</v>
      </c>
      <c r="G266" t="s">
        <v>13</v>
      </c>
    </row>
    <row r="267" spans="1:7" x14ac:dyDescent="0.5">
      <c r="A267" t="s">
        <v>12</v>
      </c>
      <c r="B267" t="s">
        <v>9</v>
      </c>
      <c r="C267">
        <v>43.6</v>
      </c>
      <c r="D267">
        <v>13.9</v>
      </c>
      <c r="E267">
        <v>217</v>
      </c>
      <c r="F267">
        <v>4900</v>
      </c>
      <c r="G267" t="s">
        <v>14</v>
      </c>
    </row>
    <row r="268" spans="1:7" x14ac:dyDescent="0.5">
      <c r="A268" t="s">
        <v>12</v>
      </c>
      <c r="B268" t="s">
        <v>9</v>
      </c>
      <c r="C268">
        <v>45.5</v>
      </c>
      <c r="D268">
        <v>13.9</v>
      </c>
      <c r="E268">
        <v>210</v>
      </c>
      <c r="F268">
        <v>4200</v>
      </c>
      <c r="G268" t="s">
        <v>14</v>
      </c>
    </row>
    <row r="269" spans="1:7" x14ac:dyDescent="0.5">
      <c r="A269" t="s">
        <v>12</v>
      </c>
      <c r="B269" t="s">
        <v>9</v>
      </c>
      <c r="C269">
        <v>50.5</v>
      </c>
      <c r="D269">
        <v>15.9</v>
      </c>
      <c r="E269">
        <v>225</v>
      </c>
      <c r="F269">
        <v>5400</v>
      </c>
      <c r="G269" t="s">
        <v>13</v>
      </c>
    </row>
    <row r="270" spans="1:7" x14ac:dyDescent="0.5">
      <c r="A270" t="s">
        <v>12</v>
      </c>
      <c r="B270" t="s">
        <v>9</v>
      </c>
      <c r="C270">
        <v>44.9</v>
      </c>
      <c r="D270">
        <v>13.3</v>
      </c>
      <c r="E270">
        <v>213</v>
      </c>
      <c r="F270">
        <v>5100</v>
      </c>
      <c r="G270" t="s">
        <v>14</v>
      </c>
    </row>
    <row r="271" spans="1:7" x14ac:dyDescent="0.5">
      <c r="A271" t="s">
        <v>12</v>
      </c>
      <c r="B271" t="s">
        <v>9</v>
      </c>
      <c r="C271">
        <v>45.2</v>
      </c>
      <c r="D271">
        <v>15.8</v>
      </c>
      <c r="E271">
        <v>215</v>
      </c>
      <c r="F271">
        <v>5300</v>
      </c>
      <c r="G271" t="s">
        <v>13</v>
      </c>
    </row>
    <row r="272" spans="1:7" x14ac:dyDescent="0.5">
      <c r="A272" t="s">
        <v>12</v>
      </c>
      <c r="B272" t="s">
        <v>9</v>
      </c>
      <c r="C272">
        <v>46.6</v>
      </c>
      <c r="D272">
        <v>14.2</v>
      </c>
      <c r="E272">
        <v>210</v>
      </c>
      <c r="F272">
        <v>4850</v>
      </c>
      <c r="G272" t="s">
        <v>14</v>
      </c>
    </row>
    <row r="273" spans="1:7" x14ac:dyDescent="0.5">
      <c r="A273" t="s">
        <v>12</v>
      </c>
      <c r="B273" t="s">
        <v>9</v>
      </c>
      <c r="C273">
        <v>48.5</v>
      </c>
      <c r="D273">
        <v>14.1</v>
      </c>
      <c r="E273">
        <v>220</v>
      </c>
      <c r="F273">
        <v>5300</v>
      </c>
      <c r="G273" t="s">
        <v>13</v>
      </c>
    </row>
    <row r="274" spans="1:7" x14ac:dyDescent="0.5">
      <c r="A274" t="s">
        <v>12</v>
      </c>
      <c r="B274" t="s">
        <v>9</v>
      </c>
      <c r="C274">
        <v>45.1</v>
      </c>
      <c r="D274">
        <v>14.4</v>
      </c>
      <c r="E274">
        <v>210</v>
      </c>
      <c r="F274">
        <v>4400</v>
      </c>
      <c r="G274" t="s">
        <v>14</v>
      </c>
    </row>
    <row r="275" spans="1:7" x14ac:dyDescent="0.5">
      <c r="A275" t="s">
        <v>12</v>
      </c>
      <c r="B275" t="s">
        <v>9</v>
      </c>
      <c r="C275">
        <v>50.1</v>
      </c>
      <c r="D275">
        <v>15</v>
      </c>
      <c r="E275">
        <v>225</v>
      </c>
      <c r="F275">
        <v>5000</v>
      </c>
      <c r="G275" t="s">
        <v>13</v>
      </c>
    </row>
    <row r="276" spans="1:7" x14ac:dyDescent="0.5">
      <c r="A276" t="s">
        <v>12</v>
      </c>
      <c r="B276" t="s">
        <v>9</v>
      </c>
      <c r="C276">
        <v>46.5</v>
      </c>
      <c r="D276">
        <v>14.4</v>
      </c>
      <c r="E276">
        <v>217</v>
      </c>
      <c r="F276">
        <v>4900</v>
      </c>
      <c r="G276" t="s">
        <v>14</v>
      </c>
    </row>
    <row r="277" spans="1:7" x14ac:dyDescent="0.5">
      <c r="A277" t="s">
        <v>12</v>
      </c>
      <c r="B277" t="s">
        <v>9</v>
      </c>
      <c r="C277">
        <v>45</v>
      </c>
      <c r="D277">
        <v>15.4</v>
      </c>
      <c r="E277">
        <v>220</v>
      </c>
      <c r="F277">
        <v>5050</v>
      </c>
      <c r="G277" t="s">
        <v>13</v>
      </c>
    </row>
    <row r="278" spans="1:7" x14ac:dyDescent="0.5">
      <c r="A278" t="s">
        <v>12</v>
      </c>
      <c r="B278" t="s">
        <v>9</v>
      </c>
      <c r="C278">
        <v>43.8</v>
      </c>
      <c r="D278">
        <v>13.9</v>
      </c>
      <c r="E278">
        <v>208</v>
      </c>
      <c r="F278">
        <v>4300</v>
      </c>
      <c r="G278" t="s">
        <v>14</v>
      </c>
    </row>
    <row r="279" spans="1:7" x14ac:dyDescent="0.5">
      <c r="A279" t="s">
        <v>12</v>
      </c>
      <c r="B279" t="s">
        <v>9</v>
      </c>
      <c r="C279">
        <v>45.5</v>
      </c>
      <c r="D279">
        <v>15</v>
      </c>
      <c r="E279">
        <v>220</v>
      </c>
      <c r="F279">
        <v>5000</v>
      </c>
      <c r="G279" t="s">
        <v>13</v>
      </c>
    </row>
    <row r="280" spans="1:7" x14ac:dyDescent="0.5">
      <c r="A280" t="s">
        <v>12</v>
      </c>
      <c r="B280" t="s">
        <v>9</v>
      </c>
      <c r="C280">
        <v>43.2</v>
      </c>
      <c r="D280">
        <v>14.5</v>
      </c>
      <c r="E280">
        <v>208</v>
      </c>
      <c r="F280">
        <v>4450</v>
      </c>
      <c r="G280" t="s">
        <v>14</v>
      </c>
    </row>
    <row r="281" spans="1:7" x14ac:dyDescent="0.5">
      <c r="A281" t="s">
        <v>12</v>
      </c>
      <c r="B281" t="s">
        <v>9</v>
      </c>
      <c r="C281">
        <v>50.4</v>
      </c>
      <c r="D281">
        <v>15.3</v>
      </c>
      <c r="E281">
        <v>224</v>
      </c>
      <c r="F281">
        <v>5550</v>
      </c>
      <c r="G281" t="s">
        <v>13</v>
      </c>
    </row>
    <row r="282" spans="1:7" x14ac:dyDescent="0.5">
      <c r="A282" t="s">
        <v>12</v>
      </c>
      <c r="B282" t="s">
        <v>9</v>
      </c>
      <c r="C282">
        <v>45.3</v>
      </c>
      <c r="D282">
        <v>13.8</v>
      </c>
      <c r="E282">
        <v>208</v>
      </c>
      <c r="F282">
        <v>4200</v>
      </c>
      <c r="G282" t="s">
        <v>14</v>
      </c>
    </row>
    <row r="283" spans="1:7" x14ac:dyDescent="0.5">
      <c r="A283" t="s">
        <v>12</v>
      </c>
      <c r="B283" t="s">
        <v>9</v>
      </c>
      <c r="C283">
        <v>46.2</v>
      </c>
      <c r="D283">
        <v>14.9</v>
      </c>
      <c r="E283">
        <v>221</v>
      </c>
      <c r="F283">
        <v>5300</v>
      </c>
      <c r="G283" t="s">
        <v>13</v>
      </c>
    </row>
    <row r="284" spans="1:7" x14ac:dyDescent="0.5">
      <c r="A284" t="s">
        <v>12</v>
      </c>
      <c r="B284" t="s">
        <v>9</v>
      </c>
      <c r="C284">
        <v>45.7</v>
      </c>
      <c r="D284">
        <v>13.9</v>
      </c>
      <c r="E284">
        <v>214</v>
      </c>
      <c r="F284">
        <v>4400</v>
      </c>
      <c r="G284" t="s">
        <v>14</v>
      </c>
    </row>
    <row r="285" spans="1:7" x14ac:dyDescent="0.5">
      <c r="A285" t="s">
        <v>12</v>
      </c>
      <c r="B285" t="s">
        <v>9</v>
      </c>
      <c r="C285">
        <v>54.3</v>
      </c>
      <c r="D285">
        <v>15.7</v>
      </c>
      <c r="E285">
        <v>231</v>
      </c>
      <c r="F285">
        <v>5650</v>
      </c>
      <c r="G285" t="s">
        <v>13</v>
      </c>
    </row>
    <row r="286" spans="1:7" x14ac:dyDescent="0.5">
      <c r="A286" t="s">
        <v>12</v>
      </c>
      <c r="B286" t="s">
        <v>9</v>
      </c>
      <c r="C286">
        <v>45.8</v>
      </c>
      <c r="D286">
        <v>14.2</v>
      </c>
      <c r="E286">
        <v>219</v>
      </c>
      <c r="F286">
        <v>4700</v>
      </c>
      <c r="G286" t="s">
        <v>14</v>
      </c>
    </row>
    <row r="287" spans="1:7" x14ac:dyDescent="0.5">
      <c r="A287" t="s">
        <v>12</v>
      </c>
      <c r="B287" t="s">
        <v>9</v>
      </c>
      <c r="C287">
        <v>49.8</v>
      </c>
      <c r="D287">
        <v>16.8</v>
      </c>
      <c r="E287">
        <v>230</v>
      </c>
      <c r="F287">
        <v>5700</v>
      </c>
      <c r="G287" t="s">
        <v>13</v>
      </c>
    </row>
    <row r="288" spans="1:7" x14ac:dyDescent="0.5">
      <c r="A288" t="s">
        <v>12</v>
      </c>
      <c r="B288" t="s">
        <v>9</v>
      </c>
      <c r="C288">
        <v>46.2</v>
      </c>
      <c r="D288">
        <v>14.4</v>
      </c>
      <c r="E288">
        <v>214</v>
      </c>
      <c r="F288">
        <v>4650</v>
      </c>
      <c r="G288" t="s">
        <v>15</v>
      </c>
    </row>
    <row r="289" spans="1:7" x14ac:dyDescent="0.5">
      <c r="A289" t="s">
        <v>12</v>
      </c>
      <c r="B289" t="s">
        <v>9</v>
      </c>
      <c r="C289">
        <v>49.5</v>
      </c>
      <c r="D289">
        <v>16.2</v>
      </c>
      <c r="E289">
        <v>229</v>
      </c>
      <c r="F289">
        <v>5800</v>
      </c>
      <c r="G289" t="s">
        <v>13</v>
      </c>
    </row>
    <row r="290" spans="1:7" x14ac:dyDescent="0.5">
      <c r="A290" t="s">
        <v>12</v>
      </c>
      <c r="B290" t="s">
        <v>9</v>
      </c>
      <c r="C290">
        <v>43.5</v>
      </c>
      <c r="D290">
        <v>14.2</v>
      </c>
      <c r="E290">
        <v>220</v>
      </c>
      <c r="F290">
        <v>4700</v>
      </c>
      <c r="G290" t="s">
        <v>14</v>
      </c>
    </row>
    <row r="291" spans="1:7" x14ac:dyDescent="0.5">
      <c r="A291" t="s">
        <v>12</v>
      </c>
      <c r="B291" t="s">
        <v>9</v>
      </c>
      <c r="C291">
        <v>50.7</v>
      </c>
      <c r="D291">
        <v>15</v>
      </c>
      <c r="E291">
        <v>223</v>
      </c>
      <c r="F291">
        <v>5550</v>
      </c>
      <c r="G291" t="s">
        <v>13</v>
      </c>
    </row>
    <row r="292" spans="1:7" x14ac:dyDescent="0.5">
      <c r="A292" t="s">
        <v>12</v>
      </c>
      <c r="B292" t="s">
        <v>9</v>
      </c>
      <c r="C292">
        <v>47.7</v>
      </c>
      <c r="D292">
        <v>15</v>
      </c>
      <c r="E292">
        <v>216</v>
      </c>
      <c r="F292">
        <v>4750</v>
      </c>
      <c r="G292" t="s">
        <v>14</v>
      </c>
    </row>
    <row r="293" spans="1:7" x14ac:dyDescent="0.5">
      <c r="A293" t="s">
        <v>12</v>
      </c>
      <c r="B293" t="s">
        <v>9</v>
      </c>
      <c r="C293">
        <v>46.4</v>
      </c>
      <c r="D293">
        <v>15.6</v>
      </c>
      <c r="E293">
        <v>221</v>
      </c>
      <c r="F293">
        <v>5000</v>
      </c>
      <c r="G293" t="s">
        <v>13</v>
      </c>
    </row>
    <row r="294" spans="1:7" x14ac:dyDescent="0.5">
      <c r="A294" t="s">
        <v>12</v>
      </c>
      <c r="B294" t="s">
        <v>9</v>
      </c>
      <c r="C294">
        <v>48.2</v>
      </c>
      <c r="D294">
        <v>15.6</v>
      </c>
      <c r="E294">
        <v>221</v>
      </c>
      <c r="F294">
        <v>5100</v>
      </c>
      <c r="G294" t="s">
        <v>13</v>
      </c>
    </row>
    <row r="295" spans="1:7" x14ac:dyDescent="0.5">
      <c r="A295" t="s">
        <v>12</v>
      </c>
      <c r="B295" t="s">
        <v>9</v>
      </c>
      <c r="C295">
        <v>46.5</v>
      </c>
      <c r="D295">
        <v>14.8</v>
      </c>
      <c r="E295">
        <v>217</v>
      </c>
      <c r="F295">
        <v>5200</v>
      </c>
      <c r="G295" t="s">
        <v>14</v>
      </c>
    </row>
    <row r="296" spans="1:7" x14ac:dyDescent="0.5">
      <c r="A296" t="s">
        <v>12</v>
      </c>
      <c r="B296" t="s">
        <v>9</v>
      </c>
      <c r="C296">
        <v>46.4</v>
      </c>
      <c r="D296">
        <v>15</v>
      </c>
      <c r="E296">
        <v>216</v>
      </c>
      <c r="F296">
        <v>4700</v>
      </c>
      <c r="G296" t="s">
        <v>14</v>
      </c>
    </row>
    <row r="297" spans="1:7" x14ac:dyDescent="0.5">
      <c r="A297" t="s">
        <v>12</v>
      </c>
      <c r="B297" t="s">
        <v>9</v>
      </c>
      <c r="C297">
        <v>48.6</v>
      </c>
      <c r="D297">
        <v>16</v>
      </c>
      <c r="E297">
        <v>230</v>
      </c>
      <c r="F297">
        <v>5800</v>
      </c>
      <c r="G297" t="s">
        <v>13</v>
      </c>
    </row>
    <row r="298" spans="1:7" x14ac:dyDescent="0.5">
      <c r="A298" t="s">
        <v>12</v>
      </c>
      <c r="B298" t="s">
        <v>9</v>
      </c>
      <c r="C298">
        <v>47.5</v>
      </c>
      <c r="D298">
        <v>14.2</v>
      </c>
      <c r="E298">
        <v>209</v>
      </c>
      <c r="F298">
        <v>4600</v>
      </c>
      <c r="G298" t="s">
        <v>14</v>
      </c>
    </row>
    <row r="299" spans="1:7" x14ac:dyDescent="0.5">
      <c r="A299" t="s">
        <v>12</v>
      </c>
      <c r="B299" t="s">
        <v>9</v>
      </c>
      <c r="C299">
        <v>51.1</v>
      </c>
      <c r="D299">
        <v>16.3</v>
      </c>
      <c r="E299">
        <v>220</v>
      </c>
      <c r="F299">
        <v>6000</v>
      </c>
      <c r="G299" t="s">
        <v>13</v>
      </c>
    </row>
    <row r="300" spans="1:7" x14ac:dyDescent="0.5">
      <c r="A300" t="s">
        <v>12</v>
      </c>
      <c r="B300" t="s">
        <v>9</v>
      </c>
      <c r="C300">
        <v>45.2</v>
      </c>
      <c r="D300">
        <v>13.8</v>
      </c>
      <c r="E300">
        <v>215</v>
      </c>
      <c r="F300">
        <v>4750</v>
      </c>
      <c r="G300" t="s">
        <v>14</v>
      </c>
    </row>
    <row r="301" spans="1:7" x14ac:dyDescent="0.5">
      <c r="A301" t="s">
        <v>12</v>
      </c>
      <c r="B301" t="s">
        <v>9</v>
      </c>
      <c r="C301">
        <v>45.2</v>
      </c>
      <c r="D301">
        <v>16.399999999999999</v>
      </c>
      <c r="E301">
        <v>223</v>
      </c>
      <c r="F301">
        <v>5950</v>
      </c>
      <c r="G301" t="s">
        <v>13</v>
      </c>
    </row>
    <row r="302" spans="1:7" x14ac:dyDescent="0.5">
      <c r="A302" t="s">
        <v>12</v>
      </c>
      <c r="B302" t="s">
        <v>9</v>
      </c>
      <c r="C302">
        <v>49.1</v>
      </c>
      <c r="D302">
        <v>14.5</v>
      </c>
      <c r="E302">
        <v>212</v>
      </c>
      <c r="F302">
        <v>4625</v>
      </c>
      <c r="G302" t="s">
        <v>14</v>
      </c>
    </row>
    <row r="303" spans="1:7" x14ac:dyDescent="0.5">
      <c r="A303" t="s">
        <v>12</v>
      </c>
      <c r="B303" t="s">
        <v>9</v>
      </c>
      <c r="C303">
        <v>52.5</v>
      </c>
      <c r="D303">
        <v>15.6</v>
      </c>
      <c r="E303">
        <v>221</v>
      </c>
      <c r="F303">
        <v>5450</v>
      </c>
      <c r="G303" t="s">
        <v>13</v>
      </c>
    </row>
    <row r="304" spans="1:7" x14ac:dyDescent="0.5">
      <c r="A304" t="s">
        <v>12</v>
      </c>
      <c r="B304" t="s">
        <v>9</v>
      </c>
      <c r="C304">
        <v>47.4</v>
      </c>
      <c r="D304">
        <v>14.6</v>
      </c>
      <c r="E304">
        <v>212</v>
      </c>
      <c r="F304">
        <v>4725</v>
      </c>
      <c r="G304" t="s">
        <v>14</v>
      </c>
    </row>
    <row r="305" spans="1:7" x14ac:dyDescent="0.5">
      <c r="A305" t="s">
        <v>12</v>
      </c>
      <c r="B305" t="s">
        <v>9</v>
      </c>
      <c r="C305">
        <v>50</v>
      </c>
      <c r="D305">
        <v>15.9</v>
      </c>
      <c r="E305">
        <v>224</v>
      </c>
      <c r="F305">
        <v>5350</v>
      </c>
      <c r="G305" t="s">
        <v>13</v>
      </c>
    </row>
    <row r="306" spans="1:7" x14ac:dyDescent="0.5">
      <c r="A306" t="s">
        <v>12</v>
      </c>
      <c r="B306" t="s">
        <v>9</v>
      </c>
      <c r="C306">
        <v>44.9</v>
      </c>
      <c r="D306">
        <v>13.8</v>
      </c>
      <c r="E306">
        <v>212</v>
      </c>
      <c r="F306">
        <v>4750</v>
      </c>
      <c r="G306" t="s">
        <v>14</v>
      </c>
    </row>
    <row r="307" spans="1:7" x14ac:dyDescent="0.5">
      <c r="A307" t="s">
        <v>12</v>
      </c>
      <c r="B307" t="s">
        <v>9</v>
      </c>
      <c r="C307">
        <v>50.8</v>
      </c>
      <c r="D307">
        <v>17.3</v>
      </c>
      <c r="E307">
        <v>228</v>
      </c>
      <c r="F307">
        <v>5600</v>
      </c>
      <c r="G307" t="s">
        <v>13</v>
      </c>
    </row>
    <row r="308" spans="1:7" x14ac:dyDescent="0.5">
      <c r="A308" t="s">
        <v>12</v>
      </c>
      <c r="B308" t="s">
        <v>9</v>
      </c>
      <c r="C308">
        <v>43.4</v>
      </c>
      <c r="D308">
        <v>14.4</v>
      </c>
      <c r="E308">
        <v>218</v>
      </c>
      <c r="F308">
        <v>4600</v>
      </c>
      <c r="G308" t="s">
        <v>14</v>
      </c>
    </row>
    <row r="309" spans="1:7" x14ac:dyDescent="0.5">
      <c r="A309" t="s">
        <v>12</v>
      </c>
      <c r="B309" t="s">
        <v>9</v>
      </c>
      <c r="C309">
        <v>51.3</v>
      </c>
      <c r="D309">
        <v>14.2</v>
      </c>
      <c r="E309">
        <v>218</v>
      </c>
      <c r="F309">
        <v>5300</v>
      </c>
      <c r="G309" t="s">
        <v>13</v>
      </c>
    </row>
    <row r="310" spans="1:7" x14ac:dyDescent="0.5">
      <c r="A310" t="s">
        <v>12</v>
      </c>
      <c r="B310" t="s">
        <v>9</v>
      </c>
      <c r="C310">
        <v>47.5</v>
      </c>
      <c r="D310">
        <v>14</v>
      </c>
      <c r="E310">
        <v>212</v>
      </c>
      <c r="F310">
        <v>4875</v>
      </c>
      <c r="G310" t="s">
        <v>14</v>
      </c>
    </row>
    <row r="311" spans="1:7" x14ac:dyDescent="0.5">
      <c r="A311" t="s">
        <v>12</v>
      </c>
      <c r="B311" t="s">
        <v>9</v>
      </c>
      <c r="C311">
        <v>52.1</v>
      </c>
      <c r="D311">
        <v>17</v>
      </c>
      <c r="E311">
        <v>230</v>
      </c>
      <c r="F311">
        <v>5550</v>
      </c>
      <c r="G311" t="s">
        <v>13</v>
      </c>
    </row>
    <row r="312" spans="1:7" x14ac:dyDescent="0.5">
      <c r="A312" t="s">
        <v>12</v>
      </c>
      <c r="B312" t="s">
        <v>9</v>
      </c>
      <c r="C312">
        <v>47.5</v>
      </c>
      <c r="D312">
        <v>15</v>
      </c>
      <c r="E312">
        <v>218</v>
      </c>
      <c r="F312">
        <v>4950</v>
      </c>
      <c r="G312" t="s">
        <v>14</v>
      </c>
    </row>
    <row r="313" spans="1:7" x14ac:dyDescent="0.5">
      <c r="A313" t="s">
        <v>12</v>
      </c>
      <c r="B313" t="s">
        <v>9</v>
      </c>
      <c r="C313">
        <v>52.2</v>
      </c>
      <c r="D313">
        <v>17.100000000000001</v>
      </c>
      <c r="E313">
        <v>228</v>
      </c>
      <c r="F313">
        <v>5400</v>
      </c>
      <c r="G313" t="s">
        <v>13</v>
      </c>
    </row>
    <row r="314" spans="1:7" x14ac:dyDescent="0.5">
      <c r="A314" t="s">
        <v>12</v>
      </c>
      <c r="B314" t="s">
        <v>9</v>
      </c>
      <c r="C314">
        <v>45.5</v>
      </c>
      <c r="D314">
        <v>14.5</v>
      </c>
      <c r="E314">
        <v>212</v>
      </c>
      <c r="F314">
        <v>4750</v>
      </c>
      <c r="G314" t="s">
        <v>14</v>
      </c>
    </row>
    <row r="315" spans="1:7" x14ac:dyDescent="0.5">
      <c r="A315" t="s">
        <v>12</v>
      </c>
      <c r="B315" t="s">
        <v>9</v>
      </c>
      <c r="C315">
        <v>49.5</v>
      </c>
      <c r="D315">
        <v>16.100000000000001</v>
      </c>
      <c r="E315">
        <v>224</v>
      </c>
      <c r="F315">
        <v>5650</v>
      </c>
      <c r="G315" t="s">
        <v>13</v>
      </c>
    </row>
    <row r="316" spans="1:7" x14ac:dyDescent="0.5">
      <c r="A316" t="s">
        <v>12</v>
      </c>
      <c r="B316" t="s">
        <v>9</v>
      </c>
      <c r="C316">
        <v>44.5</v>
      </c>
      <c r="D316">
        <v>14.7</v>
      </c>
      <c r="E316">
        <v>214</v>
      </c>
      <c r="F316">
        <v>4850</v>
      </c>
      <c r="G316" t="s">
        <v>14</v>
      </c>
    </row>
    <row r="317" spans="1:7" x14ac:dyDescent="0.5">
      <c r="A317" t="s">
        <v>12</v>
      </c>
      <c r="B317" t="s">
        <v>9</v>
      </c>
      <c r="C317">
        <v>50.8</v>
      </c>
      <c r="D317">
        <v>15.7</v>
      </c>
      <c r="E317">
        <v>226</v>
      </c>
      <c r="F317">
        <v>5200</v>
      </c>
      <c r="G317" t="s">
        <v>13</v>
      </c>
    </row>
    <row r="318" spans="1:7" x14ac:dyDescent="0.5">
      <c r="A318" t="s">
        <v>12</v>
      </c>
      <c r="B318" t="s">
        <v>9</v>
      </c>
      <c r="C318">
        <v>49.4</v>
      </c>
      <c r="D318">
        <v>15.8</v>
      </c>
      <c r="E318">
        <v>216</v>
      </c>
      <c r="F318">
        <v>4925</v>
      </c>
      <c r="G318" t="s">
        <v>13</v>
      </c>
    </row>
    <row r="319" spans="1:7" x14ac:dyDescent="0.5">
      <c r="A319" t="s">
        <v>12</v>
      </c>
      <c r="B319" t="s">
        <v>9</v>
      </c>
      <c r="C319">
        <v>46.9</v>
      </c>
      <c r="D319">
        <v>14.6</v>
      </c>
      <c r="E319">
        <v>222</v>
      </c>
      <c r="F319">
        <v>4875</v>
      </c>
      <c r="G319" t="s">
        <v>14</v>
      </c>
    </row>
    <row r="320" spans="1:7" x14ac:dyDescent="0.5">
      <c r="A320" t="s">
        <v>12</v>
      </c>
      <c r="B320" t="s">
        <v>9</v>
      </c>
      <c r="C320">
        <v>48.4</v>
      </c>
      <c r="D320">
        <v>14.4</v>
      </c>
      <c r="E320">
        <v>203</v>
      </c>
      <c r="F320">
        <v>4625</v>
      </c>
      <c r="G320" t="s">
        <v>14</v>
      </c>
    </row>
    <row r="321" spans="1:7" x14ac:dyDescent="0.5">
      <c r="A321" t="s">
        <v>12</v>
      </c>
      <c r="B321" t="s">
        <v>9</v>
      </c>
      <c r="C321">
        <v>51.1</v>
      </c>
      <c r="D321">
        <v>16.5</v>
      </c>
      <c r="E321">
        <v>225</v>
      </c>
      <c r="F321">
        <v>5250</v>
      </c>
      <c r="G321" t="s">
        <v>13</v>
      </c>
    </row>
    <row r="322" spans="1:7" x14ac:dyDescent="0.5">
      <c r="A322" t="s">
        <v>12</v>
      </c>
      <c r="B322" t="s">
        <v>9</v>
      </c>
      <c r="C322">
        <v>48.5</v>
      </c>
      <c r="D322">
        <v>15</v>
      </c>
      <c r="E322">
        <v>219</v>
      </c>
      <c r="F322">
        <v>4850</v>
      </c>
      <c r="G322" t="s">
        <v>14</v>
      </c>
    </row>
    <row r="323" spans="1:7" x14ac:dyDescent="0.5">
      <c r="A323" t="s">
        <v>12</v>
      </c>
      <c r="B323" t="s">
        <v>9</v>
      </c>
      <c r="C323">
        <v>55.9</v>
      </c>
      <c r="D323">
        <v>17</v>
      </c>
      <c r="E323">
        <v>228</v>
      </c>
      <c r="F323">
        <v>5600</v>
      </c>
      <c r="G323" t="s">
        <v>13</v>
      </c>
    </row>
    <row r="324" spans="1:7" x14ac:dyDescent="0.5">
      <c r="A324" t="s">
        <v>12</v>
      </c>
      <c r="B324" t="s">
        <v>9</v>
      </c>
      <c r="C324">
        <v>47.2</v>
      </c>
      <c r="D324">
        <v>15.5</v>
      </c>
      <c r="E324">
        <v>215</v>
      </c>
      <c r="F324">
        <v>4975</v>
      </c>
      <c r="G324" t="s">
        <v>14</v>
      </c>
    </row>
    <row r="325" spans="1:7" x14ac:dyDescent="0.5">
      <c r="A325" t="s">
        <v>12</v>
      </c>
      <c r="B325" t="s">
        <v>9</v>
      </c>
      <c r="C325">
        <v>49.1</v>
      </c>
      <c r="D325">
        <v>15</v>
      </c>
      <c r="E325">
        <v>228</v>
      </c>
      <c r="F325">
        <v>5500</v>
      </c>
      <c r="G325" t="s">
        <v>13</v>
      </c>
    </row>
    <row r="326" spans="1:7" x14ac:dyDescent="0.5">
      <c r="A326" t="s">
        <v>12</v>
      </c>
      <c r="B326" t="s">
        <v>9</v>
      </c>
      <c r="C326">
        <v>47.3</v>
      </c>
      <c r="D326">
        <v>13.8</v>
      </c>
      <c r="E326">
        <v>216</v>
      </c>
      <c r="F326">
        <v>4725</v>
      </c>
      <c r="G326" t="s">
        <v>15</v>
      </c>
    </row>
    <row r="327" spans="1:7" x14ac:dyDescent="0.5">
      <c r="A327" t="s">
        <v>12</v>
      </c>
      <c r="B327" t="s">
        <v>9</v>
      </c>
      <c r="C327">
        <v>46.8</v>
      </c>
      <c r="D327">
        <v>16.100000000000001</v>
      </c>
      <c r="E327">
        <v>215</v>
      </c>
      <c r="F327">
        <v>5500</v>
      </c>
      <c r="G327" t="s">
        <v>13</v>
      </c>
    </row>
    <row r="328" spans="1:7" x14ac:dyDescent="0.5">
      <c r="A328" t="s">
        <v>12</v>
      </c>
      <c r="B328" t="s">
        <v>9</v>
      </c>
      <c r="C328">
        <v>41.7</v>
      </c>
      <c r="D328">
        <v>14.7</v>
      </c>
      <c r="E328">
        <v>210</v>
      </c>
      <c r="F328">
        <v>4700</v>
      </c>
      <c r="G328" t="s">
        <v>14</v>
      </c>
    </row>
    <row r="329" spans="1:7" x14ac:dyDescent="0.5">
      <c r="A329" t="s">
        <v>12</v>
      </c>
      <c r="B329" t="s">
        <v>9</v>
      </c>
      <c r="C329">
        <v>53.4</v>
      </c>
      <c r="D329">
        <v>15.8</v>
      </c>
      <c r="E329">
        <v>219</v>
      </c>
      <c r="F329">
        <v>5500</v>
      </c>
      <c r="G329" t="s">
        <v>13</v>
      </c>
    </row>
    <row r="330" spans="1:7" x14ac:dyDescent="0.5">
      <c r="A330" t="s">
        <v>12</v>
      </c>
      <c r="B330" t="s">
        <v>9</v>
      </c>
      <c r="C330">
        <v>43.3</v>
      </c>
      <c r="D330">
        <v>14</v>
      </c>
      <c r="E330">
        <v>208</v>
      </c>
      <c r="F330">
        <v>4575</v>
      </c>
      <c r="G330" t="s">
        <v>14</v>
      </c>
    </row>
    <row r="331" spans="1:7" x14ac:dyDescent="0.5">
      <c r="A331" t="s">
        <v>12</v>
      </c>
      <c r="B331" t="s">
        <v>9</v>
      </c>
      <c r="C331">
        <v>48.1</v>
      </c>
      <c r="D331">
        <v>15.1</v>
      </c>
      <c r="E331">
        <v>209</v>
      </c>
      <c r="F331">
        <v>5500</v>
      </c>
      <c r="G331" t="s">
        <v>13</v>
      </c>
    </row>
    <row r="332" spans="1:7" x14ac:dyDescent="0.5">
      <c r="A332" t="s">
        <v>12</v>
      </c>
      <c r="B332" t="s">
        <v>9</v>
      </c>
      <c r="C332">
        <v>50.5</v>
      </c>
      <c r="D332">
        <v>15.2</v>
      </c>
      <c r="E332">
        <v>216</v>
      </c>
      <c r="F332">
        <v>5000</v>
      </c>
      <c r="G332" t="s">
        <v>14</v>
      </c>
    </row>
    <row r="333" spans="1:7" x14ac:dyDescent="0.5">
      <c r="A333" t="s">
        <v>12</v>
      </c>
      <c r="B333" t="s">
        <v>9</v>
      </c>
      <c r="C333">
        <v>49.8</v>
      </c>
      <c r="D333">
        <v>15.9</v>
      </c>
      <c r="E333">
        <v>229</v>
      </c>
      <c r="F333">
        <v>5950</v>
      </c>
      <c r="G333" t="s">
        <v>13</v>
      </c>
    </row>
    <row r="334" spans="1:7" x14ac:dyDescent="0.5">
      <c r="A334" t="s">
        <v>12</v>
      </c>
      <c r="B334" t="s">
        <v>9</v>
      </c>
      <c r="C334">
        <v>43.5</v>
      </c>
      <c r="D334">
        <v>15.2</v>
      </c>
      <c r="E334">
        <v>213</v>
      </c>
      <c r="F334">
        <v>4650</v>
      </c>
      <c r="G334" t="s">
        <v>14</v>
      </c>
    </row>
    <row r="335" spans="1:7" x14ac:dyDescent="0.5">
      <c r="A335" t="s">
        <v>12</v>
      </c>
      <c r="B335" t="s">
        <v>9</v>
      </c>
      <c r="C335">
        <v>51.5</v>
      </c>
      <c r="D335">
        <v>16.3</v>
      </c>
      <c r="E335">
        <v>230</v>
      </c>
      <c r="F335">
        <v>5500</v>
      </c>
      <c r="G335" t="s">
        <v>13</v>
      </c>
    </row>
    <row r="336" spans="1:7" x14ac:dyDescent="0.5">
      <c r="A336" t="s">
        <v>12</v>
      </c>
      <c r="B336" t="s">
        <v>9</v>
      </c>
      <c r="C336">
        <v>46.2</v>
      </c>
      <c r="D336">
        <v>14.1</v>
      </c>
      <c r="E336">
        <v>217</v>
      </c>
      <c r="F336">
        <v>4375</v>
      </c>
      <c r="G336" t="s">
        <v>14</v>
      </c>
    </row>
    <row r="337" spans="1:7" x14ac:dyDescent="0.5">
      <c r="A337" t="s">
        <v>12</v>
      </c>
      <c r="B337" t="s">
        <v>9</v>
      </c>
      <c r="C337">
        <v>55.1</v>
      </c>
      <c r="D337">
        <v>16</v>
      </c>
      <c r="E337">
        <v>230</v>
      </c>
      <c r="F337">
        <v>5850</v>
      </c>
      <c r="G337" t="s">
        <v>13</v>
      </c>
    </row>
    <row r="338" spans="1:7" x14ac:dyDescent="0.5">
      <c r="A338" t="s">
        <v>12</v>
      </c>
      <c r="B338" t="s">
        <v>9</v>
      </c>
      <c r="C338">
        <v>44.5</v>
      </c>
      <c r="D338">
        <v>15.7</v>
      </c>
      <c r="E338">
        <v>217</v>
      </c>
      <c r="F338">
        <v>4875</v>
      </c>
      <c r="G338" t="s">
        <v>15</v>
      </c>
    </row>
    <row r="339" spans="1:7" x14ac:dyDescent="0.5">
      <c r="A339" t="s">
        <v>12</v>
      </c>
      <c r="B339" t="s">
        <v>9</v>
      </c>
      <c r="C339">
        <v>48.8</v>
      </c>
      <c r="D339">
        <v>16.2</v>
      </c>
      <c r="E339">
        <v>222</v>
      </c>
      <c r="F339">
        <v>6000</v>
      </c>
      <c r="G339" t="s">
        <v>13</v>
      </c>
    </row>
    <row r="340" spans="1:7" x14ac:dyDescent="0.5">
      <c r="A340" t="s">
        <v>12</v>
      </c>
      <c r="B340" t="s">
        <v>9</v>
      </c>
      <c r="C340">
        <v>47.2</v>
      </c>
      <c r="D340">
        <v>13.7</v>
      </c>
      <c r="E340">
        <v>214</v>
      </c>
      <c r="F340">
        <v>4925</v>
      </c>
      <c r="G340" t="s">
        <v>14</v>
      </c>
    </row>
    <row r="341" spans="1:7" x14ac:dyDescent="0.5">
      <c r="A341" t="s">
        <v>12</v>
      </c>
      <c r="B341" t="s">
        <v>9</v>
      </c>
      <c r="G341" t="s">
        <v>15</v>
      </c>
    </row>
    <row r="342" spans="1:7" x14ac:dyDescent="0.5">
      <c r="A342" t="s">
        <v>12</v>
      </c>
      <c r="B342" t="s">
        <v>9</v>
      </c>
      <c r="C342">
        <v>46.8</v>
      </c>
      <c r="D342">
        <v>14.3</v>
      </c>
      <c r="E342">
        <v>215</v>
      </c>
      <c r="F342">
        <v>4850</v>
      </c>
      <c r="G342" t="s">
        <v>14</v>
      </c>
    </row>
    <row r="343" spans="1:7" x14ac:dyDescent="0.5">
      <c r="A343" t="s">
        <v>12</v>
      </c>
      <c r="B343" t="s">
        <v>9</v>
      </c>
      <c r="C343">
        <v>50.4</v>
      </c>
      <c r="D343">
        <v>15.7</v>
      </c>
      <c r="E343">
        <v>222</v>
      </c>
      <c r="F343">
        <v>5750</v>
      </c>
      <c r="G343" t="s">
        <v>13</v>
      </c>
    </row>
    <row r="344" spans="1:7" x14ac:dyDescent="0.5">
      <c r="A344" t="s">
        <v>12</v>
      </c>
      <c r="B344" t="s">
        <v>9</v>
      </c>
      <c r="C344">
        <v>45.2</v>
      </c>
      <c r="D344">
        <v>14.8</v>
      </c>
      <c r="E344">
        <v>212</v>
      </c>
      <c r="F344">
        <v>5200</v>
      </c>
      <c r="G344" t="s">
        <v>14</v>
      </c>
    </row>
    <row r="345" spans="1:7" x14ac:dyDescent="0.5">
      <c r="A345" t="s">
        <v>12</v>
      </c>
      <c r="B345" t="s">
        <v>9</v>
      </c>
      <c r="C345">
        <v>49.9</v>
      </c>
      <c r="D345">
        <v>16.100000000000001</v>
      </c>
      <c r="E345">
        <v>213</v>
      </c>
      <c r="F345">
        <v>5400</v>
      </c>
      <c r="G345" t="s">
        <v>13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F1B38-9D94-4787-80D6-7F7A9A81E059}">
  <dimension ref="A1:H101"/>
  <sheetViews>
    <sheetView tabSelected="1" zoomScale="70" zoomScaleNormal="70" workbookViewId="0">
      <selection activeCell="C63" sqref="C63"/>
    </sheetView>
  </sheetViews>
  <sheetFormatPr defaultRowHeight="14.35" x14ac:dyDescent="0.5"/>
  <cols>
    <col min="1" max="1" width="45.64453125" customWidth="1"/>
    <col min="2" max="2" width="18.3515625" customWidth="1"/>
    <col min="3" max="3" width="14.29296875" bestFit="1" customWidth="1"/>
    <col min="4" max="4" width="13.5859375" customWidth="1"/>
    <col min="7" max="7" width="12.3515625" bestFit="1" customWidth="1"/>
  </cols>
  <sheetData>
    <row r="1" spans="1:8" x14ac:dyDescent="0.5">
      <c r="A1" t="str" cm="1">
        <f t="array" ref="A1:H6">_xlfn._xlws.PY(1,0,penguins[#All])</f>
        <v/>
      </c>
      <c r="B1" t="str">
        <v>species</v>
      </c>
      <c r="C1" t="str">
        <v>island</v>
      </c>
      <c r="D1" t="str">
        <v>bill_length_mm</v>
      </c>
      <c r="E1" t="str">
        <v>bill_depth_mm</v>
      </c>
      <c r="F1" t="str">
        <v>flipper_length_mm</v>
      </c>
      <c r="G1" t="str">
        <v>body_mass_g</v>
      </c>
      <c r="H1" t="str">
        <v>sex</v>
      </c>
    </row>
    <row r="2" spans="1:8" x14ac:dyDescent="0.5">
      <c r="A2">
        <v>0</v>
      </c>
      <c r="B2" t="str">
        <v>Adelie</v>
      </c>
      <c r="C2" t="str">
        <v>Torgersen</v>
      </c>
      <c r="D2">
        <v>39.1</v>
      </c>
      <c r="E2">
        <v>18.7</v>
      </c>
      <c r="F2">
        <v>181</v>
      </c>
      <c r="G2">
        <v>3750</v>
      </c>
      <c r="H2" t="str">
        <v>Male</v>
      </c>
    </row>
    <row r="3" spans="1:8" x14ac:dyDescent="0.5">
      <c r="A3">
        <v>1</v>
      </c>
      <c r="B3" t="str">
        <v>Adelie</v>
      </c>
      <c r="C3" t="str">
        <v>Torgersen</v>
      </c>
      <c r="D3">
        <v>39.5</v>
      </c>
      <c r="E3">
        <v>17.399999999999999</v>
      </c>
      <c r="F3">
        <v>186</v>
      </c>
      <c r="G3">
        <v>3800</v>
      </c>
      <c r="H3" t="str">
        <v>Female</v>
      </c>
    </row>
    <row r="4" spans="1:8" x14ac:dyDescent="0.5">
      <c r="A4">
        <v>2</v>
      </c>
      <c r="B4" t="str">
        <v>Adelie</v>
      </c>
      <c r="C4" t="str">
        <v>Torgersen</v>
      </c>
      <c r="D4">
        <v>40.299999999999997</v>
      </c>
      <c r="E4">
        <v>18</v>
      </c>
      <c r="F4">
        <v>195</v>
      </c>
      <c r="G4">
        <v>3250</v>
      </c>
      <c r="H4" t="str">
        <v>Female</v>
      </c>
    </row>
    <row r="5" spans="1:8" x14ac:dyDescent="0.5">
      <c r="A5">
        <v>4</v>
      </c>
      <c r="B5" t="str">
        <v>Adelie</v>
      </c>
      <c r="C5" t="str">
        <v>Torgersen</v>
      </c>
      <c r="D5">
        <v>36.700000000000003</v>
      </c>
      <c r="E5">
        <v>19.3</v>
      </c>
      <c r="F5">
        <v>193</v>
      </c>
      <c r="G5">
        <v>3450</v>
      </c>
      <c r="H5" t="str">
        <v>Female</v>
      </c>
    </row>
    <row r="6" spans="1:8" x14ac:dyDescent="0.5">
      <c r="A6">
        <v>5</v>
      </c>
      <c r="B6" t="str">
        <v>Adelie</v>
      </c>
      <c r="C6" t="str">
        <v>Torgersen</v>
      </c>
      <c r="D6">
        <v>39.299999999999997</v>
      </c>
      <c r="E6">
        <v>20.6</v>
      </c>
      <c r="F6">
        <v>190</v>
      </c>
      <c r="G6">
        <v>3650</v>
      </c>
      <c r="H6" t="str">
        <v>Male</v>
      </c>
    </row>
    <row r="8" spans="1:8" x14ac:dyDescent="0.5">
      <c r="A8" t="e" cm="1" vm="2">
        <f t="array" ref="A8">_xlfn._xlws.PY(2,0)</f>
        <v>#VALUE!</v>
      </c>
    </row>
    <row r="23" spans="1:7" x14ac:dyDescent="0.5">
      <c r="A23" t="str" cm="1">
        <f t="array" ref="A23:C28">_xlfn._xlws.PY(3,0)</f>
        <v/>
      </c>
      <c r="B23" t="str">
        <v>const</v>
      </c>
      <c r="C23" t="str">
        <v>body_mass_g</v>
      </c>
    </row>
    <row r="24" spans="1:7" x14ac:dyDescent="0.5">
      <c r="A24">
        <v>0</v>
      </c>
      <c r="B24">
        <v>1</v>
      </c>
      <c r="C24">
        <v>3750</v>
      </c>
    </row>
    <row r="25" spans="1:7" x14ac:dyDescent="0.5">
      <c r="A25">
        <v>1</v>
      </c>
      <c r="B25">
        <v>1</v>
      </c>
      <c r="C25">
        <v>3800</v>
      </c>
    </row>
    <row r="26" spans="1:7" x14ac:dyDescent="0.5">
      <c r="A26">
        <v>2</v>
      </c>
      <c r="B26">
        <v>1</v>
      </c>
      <c r="C26">
        <v>3250</v>
      </c>
    </row>
    <row r="27" spans="1:7" x14ac:dyDescent="0.5">
      <c r="A27">
        <v>4</v>
      </c>
      <c r="B27">
        <v>1</v>
      </c>
      <c r="C27">
        <v>3450</v>
      </c>
    </row>
    <row r="28" spans="1:7" x14ac:dyDescent="0.5">
      <c r="A28">
        <v>5</v>
      </c>
      <c r="B28">
        <v>1</v>
      </c>
      <c r="C28">
        <v>3650</v>
      </c>
    </row>
    <row r="31" spans="1:7" x14ac:dyDescent="0.5">
      <c r="A31" t="str" cm="1">
        <f t="array" ref="A31:G33">_xlfn._xlws.PY(4,0)</f>
        <v/>
      </c>
      <c r="B31" t="str">
        <v>Coef.</v>
      </c>
      <c r="C31" t="str">
        <v>Std.Err.</v>
      </c>
      <c r="D31" t="str">
        <v>t</v>
      </c>
      <c r="E31" t="str">
        <v>P&gt;|t|</v>
      </c>
      <c r="F31" t="str">
        <v>[0.025</v>
      </c>
      <c r="G31" t="str">
        <v>0.975]</v>
      </c>
    </row>
    <row r="32" spans="1:7" x14ac:dyDescent="0.5">
      <c r="A32" t="str">
        <v>const</v>
      </c>
      <c r="B32" s="1">
        <v>136.72955927266216</v>
      </c>
      <c r="C32" s="1">
        <v>1.9968354062273557</v>
      </c>
      <c r="D32" s="1">
        <v>68.473124447941814</v>
      </c>
      <c r="E32" s="1">
        <v>5.7129470657428144E-201</v>
      </c>
      <c r="F32" s="1">
        <v>132.80185245199701</v>
      </c>
      <c r="G32" s="1">
        <v>140.65726609332731</v>
      </c>
    </row>
    <row r="33" spans="1:7" x14ac:dyDescent="0.5">
      <c r="A33" t="str">
        <v>body_mass_g</v>
      </c>
      <c r="B33" s="1">
        <v>1.5275915608037354E-2</v>
      </c>
      <c r="C33" s="1">
        <v>4.66835963857521E-4</v>
      </c>
      <c r="D33" s="1">
        <v>32.722233912337536</v>
      </c>
      <c r="E33" s="1">
        <v>4.3706809629952384E-107</v>
      </c>
      <c r="F33" s="1">
        <v>1.4357665263689142E-2</v>
      </c>
      <c r="G33" s="1">
        <v>1.6194165952385566E-2</v>
      </c>
    </row>
    <row r="35" spans="1:7" x14ac:dyDescent="0.5">
      <c r="D35" s="2"/>
    </row>
    <row r="36" spans="1:7" x14ac:dyDescent="0.5">
      <c r="A36" t="str" cm="1">
        <f t="array" ref="A36:D42">_xlfn._xlws.PY(5,0)</f>
        <v>Model:</v>
      </c>
      <c r="B36" t="str">
        <v>OLS</v>
      </c>
      <c r="C36" t="str">
        <v>Adj. R-squared:</v>
      </c>
      <c r="D36" s="2" t="str">
        <v>0.758</v>
      </c>
    </row>
    <row r="37" spans="1:7" x14ac:dyDescent="0.5">
      <c r="A37" t="str">
        <v>Dependent Variable:</v>
      </c>
      <c r="B37" t="str">
        <v>flipper_length_mm</v>
      </c>
      <c r="C37" t="str">
        <v>AIC:</v>
      </c>
      <c r="D37" s="2" t="str">
        <v>2295.0351</v>
      </c>
    </row>
    <row r="38" spans="1:7" x14ac:dyDescent="0.5">
      <c r="A38" t="str">
        <v>Date:</v>
      </c>
      <c r="B38" t="str">
        <v>2026-05-16 19:12</v>
      </c>
      <c r="C38" t="str">
        <v>BIC:</v>
      </c>
      <c r="D38" s="2" t="str">
        <v>2302.7047</v>
      </c>
    </row>
    <row r="39" spans="1:7" x14ac:dyDescent="0.5">
      <c r="A39" t="str">
        <v>No. Observations:</v>
      </c>
      <c r="B39" t="str">
        <v>342</v>
      </c>
      <c r="C39" t="str">
        <v>Log-Likelihood:</v>
      </c>
      <c r="D39" s="2" t="str">
        <v>-1145.5</v>
      </c>
    </row>
    <row r="40" spans="1:7" x14ac:dyDescent="0.5">
      <c r="A40" t="str">
        <v>Df Model:</v>
      </c>
      <c r="B40" t="str">
        <v>1</v>
      </c>
      <c r="C40" t="str">
        <v>F-statistic:</v>
      </c>
      <c r="D40" s="2" t="str">
        <v>1071.</v>
      </c>
    </row>
    <row r="41" spans="1:7" x14ac:dyDescent="0.5">
      <c r="A41" t="str">
        <v>Df Residuals:</v>
      </c>
      <c r="B41" t="str">
        <v>340</v>
      </c>
      <c r="C41" t="str">
        <v>Prob (F-statistic):</v>
      </c>
      <c r="D41" s="2" t="str">
        <v>4.37e-107</v>
      </c>
    </row>
    <row r="42" spans="1:7" x14ac:dyDescent="0.5">
      <c r="A42" t="str">
        <v>R-squared:</v>
      </c>
      <c r="B42" t="str">
        <v>0.759</v>
      </c>
      <c r="C42" t="str">
        <v>Scale:</v>
      </c>
      <c r="D42" s="2" t="str">
        <v>47.795</v>
      </c>
    </row>
    <row r="44" spans="1:7" x14ac:dyDescent="0.5">
      <c r="B44" s="2"/>
      <c r="C44" s="2"/>
      <c r="D44" s="2"/>
      <c r="E44" s="2"/>
      <c r="F44" s="2"/>
      <c r="G44" s="2"/>
    </row>
    <row r="45" spans="1:7" x14ac:dyDescent="0.5">
      <c r="A45" t="str" cm="1">
        <f t="array" ref="A45:G49">_xlfn._xlws.PY(6,0)</f>
        <v/>
      </c>
      <c r="B45" s="2" t="str">
        <v>Coef.</v>
      </c>
      <c r="C45" s="2" t="str">
        <v>Std.Err.</v>
      </c>
      <c r="D45" s="2" t="str">
        <v>t</v>
      </c>
      <c r="E45" s="2" t="str">
        <v>P&gt;|t|</v>
      </c>
      <c r="F45" s="2" t="str">
        <v>[0.025</v>
      </c>
      <c r="G45" s="2" t="str">
        <v>0.975]</v>
      </c>
    </row>
    <row r="46" spans="1:7" x14ac:dyDescent="0.5">
      <c r="A46" t="str">
        <v>const</v>
      </c>
      <c r="B46" s="2">
        <v>157.78594228892464</v>
      </c>
      <c r="C46" s="2">
        <v>4.62612702376566</v>
      </c>
      <c r="D46" s="2">
        <v>34.107568053867908</v>
      </c>
      <c r="E46" s="2">
        <v>1.798098946270445E-111</v>
      </c>
      <c r="F46" s="2">
        <v>148.68631661310306</v>
      </c>
      <c r="G46" s="2">
        <v>166.88556796474623</v>
      </c>
    </row>
    <row r="47" spans="1:7" x14ac:dyDescent="0.5">
      <c r="A47" t="str">
        <v>body_mass_g</v>
      </c>
      <c r="B47" s="2">
        <v>1.0925613623574675E-2</v>
      </c>
      <c r="C47" s="2">
        <v>5.3838729154386032E-4</v>
      </c>
      <c r="D47" s="2">
        <v>20.293223475325306</v>
      </c>
      <c r="E47" s="2">
        <v>1.9316462647763306E-60</v>
      </c>
      <c r="F47" s="2">
        <v>9.866601885137655E-3</v>
      </c>
      <c r="G47" s="2">
        <v>1.1984625362011695E-2</v>
      </c>
    </row>
    <row r="48" spans="1:7" x14ac:dyDescent="0.5">
      <c r="A48" t="str">
        <v>bill_length_mm</v>
      </c>
      <c r="B48" s="2">
        <v>0.59227310410359102</v>
      </c>
      <c r="C48" s="2">
        <v>7.1733108603349013E-2</v>
      </c>
      <c r="D48" s="2">
        <v>8.2566211842092052</v>
      </c>
      <c r="E48" s="2">
        <v>3.4163878761004644E-15</v>
      </c>
      <c r="F48" s="2">
        <v>0.45117355506392814</v>
      </c>
      <c r="G48" s="2">
        <v>0.73337265314325384</v>
      </c>
    </row>
    <row r="49" spans="1:7" x14ac:dyDescent="0.5">
      <c r="A49" t="str">
        <v>bill_depth_mm</v>
      </c>
      <c r="B49" s="2">
        <v>-1.6786762054930051</v>
      </c>
      <c r="C49" s="2">
        <v>0.1807708351612041</v>
      </c>
      <c r="D49" s="2">
        <v>-9.2862114842586738</v>
      </c>
      <c r="E49" s="2">
        <v>1.9947988739516662E-18</v>
      </c>
      <c r="F49" s="2">
        <v>-2.0342537598104866</v>
      </c>
      <c r="G49" s="2">
        <v>-1.3230986511755236</v>
      </c>
    </row>
    <row r="52" spans="1:7" x14ac:dyDescent="0.5">
      <c r="A52" t="str" cm="1">
        <f t="array" ref="A52:D58">_xlfn._xlws.PY(7,0)</f>
        <v>Model:</v>
      </c>
      <c r="B52" t="str">
        <v>OLS</v>
      </c>
      <c r="C52" t="str">
        <v>Adj. R-squared:</v>
      </c>
      <c r="D52" s="1" t="str">
        <v>0.830</v>
      </c>
    </row>
    <row r="53" spans="1:7" x14ac:dyDescent="0.5">
      <c r="A53" t="str">
        <v>Dependent Variable:</v>
      </c>
      <c r="B53" t="str">
        <v>flipper_length_mm</v>
      </c>
      <c r="C53" t="str">
        <v>AIC:</v>
      </c>
      <c r="D53" s="1" t="str">
        <v>2176.8792</v>
      </c>
    </row>
    <row r="54" spans="1:7" x14ac:dyDescent="0.5">
      <c r="A54" t="str">
        <v>Date:</v>
      </c>
      <c r="B54" t="str">
        <v>2026-05-16 19:12</v>
      </c>
      <c r="C54" t="str">
        <v>BIC:</v>
      </c>
      <c r="D54" s="1" t="str">
        <v>2192.2184</v>
      </c>
    </row>
    <row r="55" spans="1:7" x14ac:dyDescent="0.5">
      <c r="A55" t="str">
        <v>No. Observations:</v>
      </c>
      <c r="B55" t="str">
        <v>342</v>
      </c>
      <c r="C55" t="str">
        <v>Log-Likelihood:</v>
      </c>
      <c r="D55" s="1" t="str">
        <v>-1084.4</v>
      </c>
    </row>
    <row r="56" spans="1:7" x14ac:dyDescent="0.5">
      <c r="A56" t="str">
        <v>Df Model:</v>
      </c>
      <c r="B56" t="str">
        <v>3</v>
      </c>
      <c r="C56" t="str">
        <v>F-statistic:</v>
      </c>
      <c r="D56" s="1" t="str">
        <v>555.5</v>
      </c>
    </row>
    <row r="57" spans="1:7" x14ac:dyDescent="0.5">
      <c r="A57" t="str">
        <v>Df Residuals:</v>
      </c>
      <c r="B57" t="str">
        <v>338</v>
      </c>
      <c r="C57" t="str">
        <v>Prob (F-statistic):</v>
      </c>
      <c r="D57" s="1" t="str">
        <v>2.99e-130</v>
      </c>
    </row>
    <row r="58" spans="1:7" x14ac:dyDescent="0.5">
      <c r="A58" t="str">
        <v>R-squared:</v>
      </c>
      <c r="B58" t="str">
        <v>0.831</v>
      </c>
      <c r="C58" t="str">
        <v>Scale:</v>
      </c>
      <c r="D58" s="1" t="str">
        <v>33.637</v>
      </c>
    </row>
    <row r="59" spans="1:7" x14ac:dyDescent="0.5">
      <c r="D59" s="1"/>
    </row>
    <row r="60" spans="1:7" x14ac:dyDescent="0.5">
      <c r="D60" s="1"/>
    </row>
    <row r="63" spans="1:7" x14ac:dyDescent="0.5">
      <c r="A63" t="str" cm="1">
        <f t="array" ref="A63">_xlfn._xlws.PY(8,0)</f>
        <v>Predicted flipper length: 205.1 mm</v>
      </c>
    </row>
    <row r="66" spans="1:7" x14ac:dyDescent="0.5">
      <c r="A66" t="str" cm="1">
        <f t="array" ref="A66:B68">_xlfn._xlws.PY(9,0)</f>
        <v>is_gentoo</v>
      </c>
      <c r="B66" t="str">
        <v>count</v>
      </c>
    </row>
    <row r="67" spans="1:7" x14ac:dyDescent="0.5">
      <c r="A67">
        <v>0</v>
      </c>
      <c r="B67">
        <v>219</v>
      </c>
    </row>
    <row r="68" spans="1:7" x14ac:dyDescent="0.5">
      <c r="A68">
        <v>1</v>
      </c>
      <c r="B68">
        <v>123</v>
      </c>
    </row>
    <row r="71" spans="1:7" x14ac:dyDescent="0.5">
      <c r="A71" t="str" cm="1">
        <f t="array" ref="A71:G73">_xlfn._xlws.PY(10,0)</f>
        <v/>
      </c>
      <c r="B71" s="2" t="str">
        <v>Coef.</v>
      </c>
      <c r="C71" s="2" t="str">
        <v>Std.Err.</v>
      </c>
      <c r="D71" s="2" t="str">
        <v>z</v>
      </c>
      <c r="E71" s="2" t="str">
        <v>P&gt;|z|</v>
      </c>
      <c r="F71" s="2" t="str">
        <v>[0.025</v>
      </c>
      <c r="G71" s="2" t="str">
        <v>0.975]</v>
      </c>
    </row>
    <row r="72" spans="1:7" x14ac:dyDescent="0.5">
      <c r="A72" t="str">
        <v>const</v>
      </c>
      <c r="B72" s="2">
        <v>-28.418060420068237</v>
      </c>
      <c r="C72" s="2">
        <v>3.6096409011787181</v>
      </c>
      <c r="D72" s="2">
        <v>-7.8728220335680481</v>
      </c>
      <c r="E72" s="2">
        <v>3.4672971353533646E-15</v>
      </c>
      <c r="F72" s="2">
        <v>-35.492826583501227</v>
      </c>
      <c r="G72" s="2">
        <v>-21.343294256635247</v>
      </c>
    </row>
    <row r="73" spans="1:7" x14ac:dyDescent="0.5">
      <c r="A73" t="str">
        <v>body_mass_g</v>
      </c>
      <c r="B73" s="2">
        <v>6.3708851978764086E-3</v>
      </c>
      <c r="C73" s="2">
        <v>8.1316878295239765E-4</v>
      </c>
      <c r="D73" s="2">
        <v>7.834640644646286</v>
      </c>
      <c r="E73" s="2">
        <v>4.7018550221959556E-15</v>
      </c>
      <c r="F73" s="2">
        <v>4.777103669937441E-3</v>
      </c>
      <c r="G73" s="2">
        <v>7.964666725815377E-3</v>
      </c>
    </row>
    <row r="76" spans="1:7" x14ac:dyDescent="0.5">
      <c r="A76" t="str" cm="1">
        <f t="array" ref="A76:B78">_xlfn._xlws.PY(11,0)</f>
        <v/>
      </c>
      <c r="B76" t="str">
        <v>odds_ratio</v>
      </c>
    </row>
    <row r="77" spans="1:7" x14ac:dyDescent="0.5">
      <c r="A77" t="str">
        <v>const</v>
      </c>
      <c r="B77" s="2">
        <v>4.5519048279169813E-13</v>
      </c>
    </row>
    <row r="78" spans="1:7" x14ac:dyDescent="0.5">
      <c r="A78" t="str">
        <v>body_mass_g</v>
      </c>
      <c r="B78" s="2">
        <v>1.0063912224528118</v>
      </c>
    </row>
    <row r="81" spans="1:1" x14ac:dyDescent="0.5">
      <c r="A81" t="str" cm="1">
        <f t="array" ref="A81">_xlfn._xlws.PY(12,0)</f>
        <v>Correct: 314 out of 342, Accuracy: 91.8%</v>
      </c>
    </row>
    <row r="84" spans="1:1" x14ac:dyDescent="0.5">
      <c r="A84" cm="1" vm="3">
        <f t="array" ref="A84">_xlfn._xlws.PY(13,0)</f>
        <v>0</v>
      </c>
    </row>
    <row r="88" spans="1:1" x14ac:dyDescent="0.5">
      <c r="A88" t="e" cm="1" vm="4">
        <f t="array" ref="A88">_xlfn._xlws.PY(14,1)</f>
        <v>#VALUE!</v>
      </c>
    </row>
    <row r="91" spans="1:1" x14ac:dyDescent="0.5">
      <c r="A91" t="str" cm="1">
        <f t="array" ref="A91">_xlfn._xlws.PY(15,0)</f>
        <v>Mean Absolute Error on test set: 4.44 mm</v>
      </c>
    </row>
    <row r="94" spans="1:1" x14ac:dyDescent="0.5">
      <c r="A94" t="e" cm="1" vm="5">
        <f t="array" ref="A94">_xlfn._xlws.PY(16,1)</f>
        <v>#VALUE!</v>
      </c>
    </row>
    <row r="97" spans="1:1" x14ac:dyDescent="0.5">
      <c r="A97" t="str" cm="1">
        <f t="array" ref="A97">_xlfn._xlws.PY(17,0)</f>
        <v>Test set accuracy: 100.0%, Correct: 69 out of 69</v>
      </c>
    </row>
    <row r="101" spans="1:1" x14ac:dyDescent="0.5">
      <c r="A101" t="e" cm="1" vm="6">
        <f t="array" ref="A101">_xlfn._xlws.PY(18,0)</f>
        <v>#VALUE!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regression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George Mount</cp:lastModifiedBy>
  <dcterms:created xsi:type="dcterms:W3CDTF">2026-04-03T20:12:40Z</dcterms:created>
  <dcterms:modified xsi:type="dcterms:W3CDTF">2026-05-16T19:46:59Z</dcterms:modified>
</cp:coreProperties>
</file>