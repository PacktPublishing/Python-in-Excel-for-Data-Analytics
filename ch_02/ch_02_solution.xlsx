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5"/>
  <workbookPr/>
  <mc:AlternateContent xmlns:mc="http://schemas.openxmlformats.org/markup-compatibility/2006">
    <mc:Choice Requires="x15">
      <x15ac:absPath xmlns:x15ac="http://schemas.microsoft.com/office/spreadsheetml/2010/11/ac" url="C:\Users\GeorgeMount\Documents\GitHub\Python-in-Excel-for-Data-Analytics\ch_02\"/>
    </mc:Choice>
  </mc:AlternateContent>
  <xr:revisionPtr revIDLastSave="0" documentId="13_ncr:1_{57BAB798-30DC-45AB-BE45-757F4853DD5D}" xr6:coauthVersionLast="47" xr6:coauthVersionMax="47" xr10:uidLastSave="{00000000-0000-0000-0000-000000000000}"/>
  <bookViews>
    <workbookView xWindow="-98" yWindow="-98" windowWidth="18915" windowHeight="12676" activeTab="2" xr2:uid="{00000000-000D-0000-FFFF-FFFF00000000}"/>
  </bookViews>
  <sheets>
    <sheet name="nyc" sheetId="1" r:id="rId1"/>
    <sheet name="sales" sheetId="2" r:id="rId2"/>
    <sheet name="sales_analysis" sheetId="1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4" i="12" l="1" a="1"/>
  <c r="E1" i="1" a="1"/>
  <c r="E8" i="1" s="1" a="1"/>
  <c r="A1" i="12" a="1"/>
  <c r="A3" i="12" s="1" a="1"/>
  <c r="A10" i="12" s="1" a="1"/>
  <c r="A17" i="12" s="1" a="1"/>
  <c r="A32" i="12" s="1" a="1"/>
  <c r="A40" i="12" s="1" a="1"/>
  <c r="A43" i="12" s="1" a="1"/>
  <c r="A53" i="12" s="1" a="1"/>
  <c r="A63" i="12" s="1" a="1"/>
  <c r="A69" i="12" s="1" a="1"/>
  <c r="A76" i="12" s="1" a="1"/>
  <c r="A84" i="12" s="1" a="1"/>
  <c r="A91" i="12" s="1" a="1"/>
  <c r="A98" i="12" s="1" a="1"/>
  <c r="A105" i="12" s="1" a="1"/>
  <c r="A113" i="12" s="1" a="1"/>
  <c r="A121" i="12" s="1" a="1"/>
  <c r="A129" i="12" s="1" a="1"/>
  <c r="A136" i="12" s="1" a="1"/>
  <c r="A144" i="12" s="1" a="1"/>
  <c r="A149" i="12" s="1" a="1"/>
  <c r="A156" i="12" s="1" a="1"/>
  <c r="A161" i="12" s="1" a="1"/>
  <c r="A178" i="12" s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2"/>
        </ext>
      </extLst>
    </bk>
  </futureMetadata>
  <cellMetadata count="1">
    <bk>
      <rc t="1" v="0"/>
    </bk>
  </cellMetadata>
  <valueMetadata count="1">
    <bk>
      <rc t="2" v="0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nyc_df = xl(%P2%, headers=True)
nyc_df['density'] = nyc_df['population'] / nyc_df['land_area']
nyc_df</code>
    </pythonScript>
    <pythonScript>
      <code>sales_df = xl(%P2%, headers=True)</code>
    </pythonScript>
    <pythonScript>
      <code># Print first few rows
sales_df.head()</code>
    </pythonScript>
    <pythonScript>
      <code># Print law few rows
sales_df.tail()</code>
    </pythonScript>
    <pythonScript>
      <code># Samples 5 rows at random
sales_df.sample(5)</code>
    </pythonScript>
    <pythonScript>
      <code xml:space="preserve"># Find %% of missing values in each column
sales_df.isna().mean() * 100 </code>
    </pythonScript>
    <pythonScript>
      <code>sales_df.isna().mean().sort_values(ascending=False) * 100</code>
    </pythonScript>
    <pythonScript>
      <code># Get rows and columns of DataFrame
sales_df.shape</code>
    </pythonScript>
    <pythonScript>
      <code># Generate descriptive statistics
sales_df.describe()</code>
    </pythonScript>
    <pythonScript>
      <code>sales_df.describe(percentiles=[.1, .5, .9])</code>
    </pythonScript>
    <pythonScript>
      <code xml:space="preserve">sales_df.describe(exclude='number')  </code>
    </pythonScript>
    <pythonScript>
      <code>sales_df[['product', 'category', 'unit_price']].head()</code>
    </pythonScript>
    <pythonScript>
      <code>sales_df['country'].head()</code>
    </pythonScript>
    <pythonScript>
      <code>sales_df[sales_df['country'] == 'United States'].head()</code>
    </pythonScript>
    <pythonScript>
      <code>sales_df[(sales_df['country'] == 'United States') &amp; (sales_df['unit_price'] &gt; 50)].head()</code>
    </pythonScript>
    <pythonScript>
      <code>us_sales = sales_df[sales_df['country'] == 'United States']
us_sales.head()</code>
    </pythonScript>
    <pythonScript>
      <code>sales_df.sort_values('unit_price').head()</code>
    </pythonScript>
    <pythonScript>
      <code>sales_df.sort_values('unit_price', ascending=False).head()</code>
    </pythonScript>
    <pythonScript>
      <code>sales_df.sort_values(['country', 'unit_price']).head()</code>
    </pythonScript>
    <pythonScript>
      <code>sorted_sales = sales_df.sort_values('unit_price', ascending=False)
sorted_sales.head()</code>
    </pythonScript>
    <pythonScript>
      <code>sales_df['country'].value_counts()</code>
    </pythonScript>
    <pythonScript>
      <code>sales_df['category'].value_counts(normalize=True)</code>
    </pythonScript>
    <pythonScript>
      <code>sales_df.groupby('country')['unit_price'].mean()</code>
    </pythonScript>
    <pythonScript>
      <code>sales_df.groupby('category')['quantity'].sum()</code>
    </pythonScript>
    <pythonScript>
      <code>sales_df.groupby(['country', 'category'])['unit_price'].mean()</code>
    </pythonScript>
    <pythonScript>
      <code>sales_df.groupby('country')['unit_price'].agg(['mean', 'min', 'max'])</code>
    </pythonScript>
  </pythonScripts>
</python>
</file>

<file path=xl/sharedStrings.xml><?xml version="1.0" encoding="utf-8"?>
<sst xmlns="http://schemas.openxmlformats.org/spreadsheetml/2006/main" count="815" uniqueCount="238">
  <si>
    <t>borough</t>
  </si>
  <si>
    <t>population</t>
  </si>
  <si>
    <t>land_area</t>
  </si>
  <si>
    <t>Manhattan</t>
  </si>
  <si>
    <t>Brooklyn</t>
  </si>
  <si>
    <t>Queens</t>
  </si>
  <si>
    <t>Staten Island</t>
  </si>
  <si>
    <t>order_id</t>
  </si>
  <si>
    <t>product</t>
  </si>
  <si>
    <t>category</t>
  </si>
  <si>
    <t>unit_price</t>
  </si>
  <si>
    <t>quantity</t>
  </si>
  <si>
    <t>customer_age</t>
  </si>
  <si>
    <t>country</t>
  </si>
  <si>
    <t>ORD-0001</t>
  </si>
  <si>
    <t>Desk</t>
  </si>
  <si>
    <t>Furniture</t>
  </si>
  <si>
    <t>United States</t>
  </si>
  <si>
    <t>ORD-0002</t>
  </si>
  <si>
    <t>Lamp</t>
  </si>
  <si>
    <t>ORD-0003</t>
  </si>
  <si>
    <t>Germany</t>
  </si>
  <si>
    <t>ORD-0004</t>
  </si>
  <si>
    <t>Notebook</t>
  </si>
  <si>
    <t>Office Supplies</t>
  </si>
  <si>
    <t>ORD-0005</t>
  </si>
  <si>
    <t>Tablet</t>
  </si>
  <si>
    <t>Electronics</t>
  </si>
  <si>
    <t>ORD-0006</t>
  </si>
  <si>
    <t>United Kingdom</t>
  </si>
  <si>
    <t>ORD-0007</t>
  </si>
  <si>
    <t>Printer Paper</t>
  </si>
  <si>
    <t>ORD-0008</t>
  </si>
  <si>
    <t>Canada</t>
  </si>
  <si>
    <t>ORD-0009</t>
  </si>
  <si>
    <t>Binder</t>
  </si>
  <si>
    <t>ORD-0010</t>
  </si>
  <si>
    <t>ORD-0011</t>
  </si>
  <si>
    <t>ORD-0012</t>
  </si>
  <si>
    <t>ORD-0013</t>
  </si>
  <si>
    <t>Bookshelf</t>
  </si>
  <si>
    <t>ORD-0014</t>
  </si>
  <si>
    <t>Headphones</t>
  </si>
  <si>
    <t>ORD-0015</t>
  </si>
  <si>
    <t>Filing Cabinet</t>
  </si>
  <si>
    <t>ORD-0016</t>
  </si>
  <si>
    <t>ORD-0017</t>
  </si>
  <si>
    <t>ORD-0018</t>
  </si>
  <si>
    <t>ORD-0019</t>
  </si>
  <si>
    <t>Australia</t>
  </si>
  <si>
    <t>ORD-0020</t>
  </si>
  <si>
    <t>ORD-0021</t>
  </si>
  <si>
    <t>ORD-0022</t>
  </si>
  <si>
    <t>Pens</t>
  </si>
  <si>
    <t>ORD-0023</t>
  </si>
  <si>
    <t>Keyboard</t>
  </si>
  <si>
    <t>ORD-0024</t>
  </si>
  <si>
    <t>ORD-0025</t>
  </si>
  <si>
    <t>Chair</t>
  </si>
  <si>
    <t>ORD-0026</t>
  </si>
  <si>
    <t>ORD-0027</t>
  </si>
  <si>
    <t>ORD-0028</t>
  </si>
  <si>
    <t>ORD-0029</t>
  </si>
  <si>
    <t>ORD-0030</t>
  </si>
  <si>
    <t>Monitor</t>
  </si>
  <si>
    <t>ORD-0031</t>
  </si>
  <si>
    <t>ORD-0032</t>
  </si>
  <si>
    <t>ORD-0033</t>
  </si>
  <si>
    <t>ORD-0034</t>
  </si>
  <si>
    <t>ORD-0035</t>
  </si>
  <si>
    <t>ORD-0036</t>
  </si>
  <si>
    <t>Stapler</t>
  </si>
  <si>
    <t>ORD-0037</t>
  </si>
  <si>
    <t>ORD-0038</t>
  </si>
  <si>
    <t>ORD-0039</t>
  </si>
  <si>
    <t>Laptop</t>
  </si>
  <si>
    <t>ORD-0040</t>
  </si>
  <si>
    <t>ORD-0041</t>
  </si>
  <si>
    <t>ORD-0042</t>
  </si>
  <si>
    <t>ORD-0043</t>
  </si>
  <si>
    <t>ORD-0044</t>
  </si>
  <si>
    <t>ORD-0045</t>
  </si>
  <si>
    <t>ORD-0046</t>
  </si>
  <si>
    <t>ORD-0047</t>
  </si>
  <si>
    <t>ORD-0048</t>
  </si>
  <si>
    <t>ORD-0049</t>
  </si>
  <si>
    <t>ORD-0050</t>
  </si>
  <si>
    <t>ORD-0051</t>
  </si>
  <si>
    <t>ORD-0052</t>
  </si>
  <si>
    <t>ORD-0053</t>
  </si>
  <si>
    <t>ORD-0054</t>
  </si>
  <si>
    <t>ORD-0055</t>
  </si>
  <si>
    <t>ORD-0056</t>
  </si>
  <si>
    <t>ORD-0057</t>
  </si>
  <si>
    <t>ORD-0058</t>
  </si>
  <si>
    <t>ORD-0059</t>
  </si>
  <si>
    <t>ORD-0060</t>
  </si>
  <si>
    <t>ORD-0061</t>
  </si>
  <si>
    <t>ORD-0062</t>
  </si>
  <si>
    <t>ORD-0063</t>
  </si>
  <si>
    <t>ORD-0064</t>
  </si>
  <si>
    <t>ORD-0065</t>
  </si>
  <si>
    <t>ORD-0066</t>
  </si>
  <si>
    <t>ORD-0067</t>
  </si>
  <si>
    <t>ORD-0068</t>
  </si>
  <si>
    <t>ORD-0069</t>
  </si>
  <si>
    <t>ORD-0070</t>
  </si>
  <si>
    <t>ORD-0071</t>
  </si>
  <si>
    <t>ORD-0072</t>
  </si>
  <si>
    <t>ORD-0073</t>
  </si>
  <si>
    <t>ORD-0074</t>
  </si>
  <si>
    <t>ORD-0075</t>
  </si>
  <si>
    <t>ORD-0076</t>
  </si>
  <si>
    <t>ORD-0077</t>
  </si>
  <si>
    <t>ORD-0078</t>
  </si>
  <si>
    <t>ORD-0079</t>
  </si>
  <si>
    <t>ORD-0080</t>
  </si>
  <si>
    <t>ORD-0081</t>
  </si>
  <si>
    <t>ORD-0082</t>
  </si>
  <si>
    <t>ORD-0083</t>
  </si>
  <si>
    <t>ORD-0084</t>
  </si>
  <si>
    <t>ORD-0085</t>
  </si>
  <si>
    <t>ORD-0086</t>
  </si>
  <si>
    <t>ORD-0087</t>
  </si>
  <si>
    <t>ORD-0088</t>
  </si>
  <si>
    <t>ORD-0089</t>
  </si>
  <si>
    <t>ORD-0090</t>
  </si>
  <si>
    <t>ORD-0091</t>
  </si>
  <si>
    <t>ORD-0092</t>
  </si>
  <si>
    <t>ORD-0093</t>
  </si>
  <si>
    <t>ORD-0094</t>
  </si>
  <si>
    <t>ORD-0095</t>
  </si>
  <si>
    <t>ORD-0096</t>
  </si>
  <si>
    <t>ORD-0097</t>
  </si>
  <si>
    <t>ORD-0098</t>
  </si>
  <si>
    <t>ORD-0099</t>
  </si>
  <si>
    <t>ORD-0100</t>
  </si>
  <si>
    <t>ORD-0101</t>
  </si>
  <si>
    <t>ORD-0102</t>
  </si>
  <si>
    <t>ORD-0103</t>
  </si>
  <si>
    <t>ORD-0104</t>
  </si>
  <si>
    <t>ORD-0105</t>
  </si>
  <si>
    <t>ORD-0106</t>
  </si>
  <si>
    <t>ORD-0107</t>
  </si>
  <si>
    <t>ORD-0108</t>
  </si>
  <si>
    <t>ORD-0109</t>
  </si>
  <si>
    <t>ORD-0110</t>
  </si>
  <si>
    <t>ORD-0111</t>
  </si>
  <si>
    <t>ORD-0112</t>
  </si>
  <si>
    <t>ORD-0113</t>
  </si>
  <si>
    <t>ORD-0114</t>
  </si>
  <si>
    <t>ORD-0115</t>
  </si>
  <si>
    <t>ORD-0116</t>
  </si>
  <si>
    <t>ORD-0117</t>
  </si>
  <si>
    <t>ORD-0118</t>
  </si>
  <si>
    <t>ORD-0119</t>
  </si>
  <si>
    <t>ORD-0120</t>
  </si>
  <si>
    <t>ORD-0121</t>
  </si>
  <si>
    <t>ORD-0122</t>
  </si>
  <si>
    <t>ORD-0123</t>
  </si>
  <si>
    <t>ORD-0124</t>
  </si>
  <si>
    <t>ORD-0125</t>
  </si>
  <si>
    <t>ORD-0126</t>
  </si>
  <si>
    <t>ORD-0127</t>
  </si>
  <si>
    <t>ORD-0128</t>
  </si>
  <si>
    <t>ORD-0129</t>
  </si>
  <si>
    <t>ORD-0130</t>
  </si>
  <si>
    <t>ORD-0131</t>
  </si>
  <si>
    <t>ORD-0132</t>
  </si>
  <si>
    <t>ORD-0133</t>
  </si>
  <si>
    <t>ORD-0134</t>
  </si>
  <si>
    <t>ORD-0135</t>
  </si>
  <si>
    <t>ORD-0136</t>
  </si>
  <si>
    <t>ORD-0137</t>
  </si>
  <si>
    <t>ORD-0138</t>
  </si>
  <si>
    <t>ORD-0139</t>
  </si>
  <si>
    <t>ORD-0140</t>
  </si>
  <si>
    <t>ORD-0141</t>
  </si>
  <si>
    <t>ORD-0142</t>
  </si>
  <si>
    <t>ORD-0143</t>
  </si>
  <si>
    <t>ORD-0144</t>
  </si>
  <si>
    <t>ORD-0145</t>
  </si>
  <si>
    <t>ORD-0146</t>
  </si>
  <si>
    <t>ORD-0147</t>
  </si>
  <si>
    <t>ORD-0148</t>
  </si>
  <si>
    <t>ORD-0149</t>
  </si>
  <si>
    <t>ORD-0150</t>
  </si>
  <si>
    <t>ORD-0151</t>
  </si>
  <si>
    <t>ORD-0152</t>
  </si>
  <si>
    <t>ORD-0153</t>
  </si>
  <si>
    <t>ORD-0154</t>
  </si>
  <si>
    <t>ORD-0155</t>
  </si>
  <si>
    <t>ORD-0156</t>
  </si>
  <si>
    <t>ORD-0157</t>
  </si>
  <si>
    <t>ORD-0158</t>
  </si>
  <si>
    <t>ORD-0159</t>
  </si>
  <si>
    <t>ORD-0160</t>
  </si>
  <si>
    <t>ORD-0161</t>
  </si>
  <si>
    <t>ORD-0162</t>
  </si>
  <si>
    <t>ORD-0163</t>
  </si>
  <si>
    <t>ORD-0164</t>
  </si>
  <si>
    <t>ORD-0165</t>
  </si>
  <si>
    <t>ORD-0166</t>
  </si>
  <si>
    <t>ORD-0167</t>
  </si>
  <si>
    <t>ORD-0168</t>
  </si>
  <si>
    <t>ORD-0169</t>
  </si>
  <si>
    <t>ORD-0170</t>
  </si>
  <si>
    <t>ORD-0171</t>
  </si>
  <si>
    <t>ORD-0172</t>
  </si>
  <si>
    <t>ORD-0173</t>
  </si>
  <si>
    <t>ORD-0174</t>
  </si>
  <si>
    <t>ORD-0175</t>
  </si>
  <si>
    <t>ORD-0176</t>
  </si>
  <si>
    <t>ORD-0177</t>
  </si>
  <si>
    <t>ORD-0178</t>
  </si>
  <si>
    <t>ORD-0179</t>
  </si>
  <si>
    <t>ORD-0180</t>
  </si>
  <si>
    <t>ORD-0181</t>
  </si>
  <si>
    <t>ORD-0182</t>
  </si>
  <si>
    <t>ORD-0183</t>
  </si>
  <si>
    <t>ORD-0184</t>
  </si>
  <si>
    <t>ORD-0185</t>
  </si>
  <si>
    <t>ORD-0186</t>
  </si>
  <si>
    <t>ORD-0187</t>
  </si>
  <si>
    <t>ORD-0188</t>
  </si>
  <si>
    <t>ORD-0189</t>
  </si>
  <si>
    <t>ORD-0190</t>
  </si>
  <si>
    <t>ORD-0191</t>
  </si>
  <si>
    <t>ORD-0192</t>
  </si>
  <si>
    <t>ORD-0193</t>
  </si>
  <si>
    <t>ORD-0194</t>
  </si>
  <si>
    <t>ORD-0195</t>
  </si>
  <si>
    <t>ORD-0196</t>
  </si>
  <si>
    <t>ORD-0197</t>
  </si>
  <si>
    <t>ORD-0198</t>
  </si>
  <si>
    <t>ORD-0199</t>
  </si>
  <si>
    <t>ORD-0200</t>
  </si>
  <si>
    <t>The Bronx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</si>
</sst>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3" fontId="1" fillId="0" borderId="0" xfId="0" applyNumberFormat="1" applyFont="1"/>
    <xf numFmtId="3" fontId="0" fillId="0" borderId="0" xfId="0" applyNumberFormat="1"/>
    <xf numFmtId="0" fontId="3" fillId="0" borderId="0" xfId="0" applyFont="1"/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microsoft.com/office/2017/06/relationships/rdSupportingPropertyBag" Target="richData/rdsupporting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SupportingPropertyBagStructure" Target="richData/rdsupportingpropertybagstructure.xml"/><Relationship Id="rId5" Type="http://schemas.openxmlformats.org/officeDocument/2006/relationships/styles" Target="styles.xml"/><Relationship Id="rId15" Type="http://schemas.microsoft.com/office/2023/09/relationships/Python" Target="python.xml"/><Relationship Id="rId10" Type="http://schemas.microsoft.com/office/2017/06/relationships/rdArray" Target="richData/rdarray.xml"/><Relationship Id="rId4" Type="http://schemas.openxmlformats.org/officeDocument/2006/relationships/theme" Target="theme/theme1.xml"/><Relationship Id="rId9" Type="http://schemas.microsoft.com/office/2017/06/relationships/rdRichValueStructure" Target="richData/rdrichvaluestructure.xml"/><Relationship Id="rId14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1">
  <a r="12" c="8">
    <v t="s"/>
    <v t="s">order_id</v>
    <v t="s">product</v>
    <v t="s">category</v>
    <v t="s">unit_price</v>
    <v t="s">quantity</v>
    <v t="s">customer_age</v>
    <v t="s">country</v>
    <v>0</v>
    <v t="s">ORD-0001</v>
    <v t="s">Desk</v>
    <v t="s">Furniture</v>
    <v>68.760000000000005</v>
    <v>5</v>
    <v>37</v>
    <v t="s">United States</v>
    <v>1</v>
    <v t="s">ORD-0002</v>
    <v t="s">Lamp</v>
    <v t="s">Furniture</v>
    <v>115.2</v>
    <v>7</v>
    <v>24</v>
    <v t="s">United States</v>
    <v>2</v>
    <v t="s">ORD-0003</v>
    <v t="s">Lamp</v>
    <v t="s">Furniture</v>
    <v>69.900000000000006</v>
    <v>4</v>
    <v>63</v>
    <v t="s">Germany</v>
    <v>3</v>
    <v t="s">ORD-0004</v>
    <v t="s">Notebook</v>
    <v t="s">Office Supplies</v>
    <v>15.35</v>
    <v>1</v>
    <v>32</v>
    <v t="s">Germany</v>
    <v>4</v>
    <v t="s">ORD-0005</v>
    <v t="s">Tablet</v>
    <v t="s">Electronics</v>
    <v>479.68</v>
    <v>6</v>
    <v>28</v>
    <v t="s">United States</v>
    <v t="s">...</v>
    <v t="s">...</v>
    <v t="s">...</v>
    <v t="s">...</v>
    <v t="s">...</v>
    <v t="s">...</v>
    <v t="s">...</v>
    <v t="s">...</v>
    <v>195</v>
    <v t="s">ORD-0196</v>
    <v t="s">Headphones</v>
    <v t="s">Electronics</v>
    <v>162.49</v>
    <v>2</v>
    <v>22</v>
    <v t="s">United Kingdom</v>
    <v>196</v>
    <v t="s">ORD-0197</v>
    <v t="s">Monitor</v>
    <v t="s">Electronics</v>
    <v>277.98</v>
    <v>4</v>
    <v>54</v>
    <v t="s">United Kingdom</v>
    <v>197</v>
    <v t="s">ORD-0198</v>
    <v t="s">Printer Paper</v>
    <v t="s">Office Supplies</v>
    <v>21.06</v>
    <v>1</v>
    <v>49</v>
    <v t="s">United States</v>
    <v>198</v>
    <v t="s">ORD-0199</v>
    <v t="s">Notebook</v>
    <v t="s">Office Supplies</v>
    <v>22.61</v>
    <v>7</v>
    <v>62</v>
    <v t="s">United Kingdom</v>
    <v>199</v>
    <v t="s">ORD-0200</v>
    <v t="s">Headphones</v>
    <v t="s">Electronics</v>
    <v>106.64</v>
    <v>10</v>
    <v>51</v>
    <v t="s">Canada</v>
  </a>
</arrayData>
</file>

<file path=xl/richData/rdrichvalue.xml><?xml version="1.0" encoding="utf-8"?>
<rvData xmlns="http://schemas.microsoft.com/office/spreadsheetml/2017/richdata" count="3">
  <rv s="0">
    <v>0</v>
  </rv>
  <rv s="1">
    <v>DataFrame</v>
    <v>1</v>
    <v>0</v>
  </rv>
  <rv s="2">
    <v>&lt;class 'pandas.core.frame.DataFrame'&gt;</v>
    <v>DataFrame</v>
    <v xml:space="preserve">     order_id        product         category  unit_price  quantity  \
0    ORD-0001           Desk        Furniture       68.76         5   
1    ORD-0002           Lamp        Furniture      115.20         7   
2    ORD-0003           Lamp        Fur...</v>
    <v>1</v>
    <v>2</v>
  </rv>
</rvData>
</file>

<file path=xl/richData/rdrichvaluestructure.xml><?xml version="1.0" encoding="utf-8"?>
<rvStructures xmlns="http://schemas.microsoft.com/office/spreadsheetml/2017/richdata" count="3">
  <s t="_array">
    <k n="array" t="a"/>
  </s>
  <s t="_entity">
    <k n="_DisplayString" t="s"/>
    <k n="_ViewInfo" t="spb"/>
    <k n="arrayPreview" t="r"/>
  </s>
  <s t="_python">
    <k n="Python_type" t="s"/>
    <k n="Python_typeName" t="s"/>
    <k n="Python_str" t="s"/>
    <k n="preview" t="r"/>
    <k n="_Provider" t="spb"/>
  </s>
</rvStructures>
</file>

<file path=xl/richData/rdsupportingpropertybag.xml><?xml version="1.0" encoding="utf-8"?>
<supportingPropertyBags xmlns="http://schemas.microsoft.com/office/spreadsheetml/2017/richdata2">
  <spbData count="3">
    <spb s="0">
      <v>200</v>
      <v>7</v>
      <v>DataFrame</v>
      <v>arrayPreview</v>
      <v>1</v>
    </spb>
    <spb s="1">
      <v>0</v>
    </spb>
    <spb s="2">
      <v>https://www.anaconda.com/excel</v>
      <v>https://res.cdn.office.net/officepysvc/prod-preview/anacondalogo.png</v>
      <v>Python provided by Anaconda</v>
    </spb>
  </spbData>
</supportingPropertyBags>
</file>

<file path=xl/richData/rdsupportingpropertybagstructure.xml><?xml version="1.0" encoding="utf-8"?>
<spbStructures xmlns="http://schemas.microsoft.com/office/spreadsheetml/2017/richdata2" count="3">
  <s>
    <k n="drw" t="i"/>
    <k n="dcol" t="i"/>
    <k n="name" t="s"/>
    <k n="array" t="s"/>
    <k n="headers" t="b"/>
  </s>
  <s>
    <k n="ArrayCardInfo" t="spb"/>
  </s>
  <s>
    <k n="link" t="s"/>
    <k n="logo" t="s"/>
    <k n="name" t="s"/>
  </s>
</spb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99DEF9-7300-4421-80EE-149706CE1CEA}" name="nyc_pop" displayName="nyc_pop" ref="A1:C6" totalsRowShown="0" headerRowDxfId="2">
  <autoFilter ref="A1:C6" xr:uid="{A099DEF9-7300-4421-80EE-149706CE1CEA}"/>
  <tableColumns count="3">
    <tableColumn id="1" xr3:uid="{4060128F-DD32-4555-9DB9-CA443A160D2A}" name="borough"/>
    <tableColumn id="2" xr3:uid="{32E7E197-F690-4580-9F10-846DD215807D}" name="population" dataDxfId="1"/>
    <tableColumn id="3" xr3:uid="{4D8417DA-D82A-4787-B91D-F9A344C39103}" name="land_area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FD50F0B-C049-417D-9A23-94F4B3CCF18D}" name="sales" displayName="sales" ref="A1:G201" totalsRowShown="0" headerRowDxfId="0">
  <autoFilter ref="A1:G201" xr:uid="{DFD50F0B-C049-417D-9A23-94F4B3CCF18D}"/>
  <tableColumns count="7">
    <tableColumn id="1" xr3:uid="{054A5DBB-1F62-4FF0-893D-CA3913FFC271}" name="order_id"/>
    <tableColumn id="2" xr3:uid="{B481327C-41EF-44FC-8C63-27E0F7D94F1F}" name="product"/>
    <tableColumn id="3" xr3:uid="{5C1151DF-981E-4721-AE7A-A5DDADDADD76}" name="category"/>
    <tableColumn id="4" xr3:uid="{A3B9926A-6260-4BF3-B70F-0B3A9F393BDE}" name="unit_price"/>
    <tableColumn id="5" xr3:uid="{6875146E-5506-4AE1-ABEE-5476A86AC2B6}" name="quantity"/>
    <tableColumn id="6" xr3:uid="{769A5AD8-167F-42BE-8CDB-33ADB8B724E9}" name="customer_age"/>
    <tableColumn id="7" xr3:uid="{BE4E8383-3277-452B-945A-CE1D09DA83EF}" name="countr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workbookViewId="0">
      <selection activeCell="D12" sqref="D12"/>
    </sheetView>
  </sheetViews>
  <sheetFormatPr defaultRowHeight="14.25" x14ac:dyDescent="0.45"/>
  <cols>
    <col min="1" max="1" width="16" customWidth="1"/>
    <col min="2" max="2" width="14" style="4" customWidth="1"/>
    <col min="3" max="3" width="12" customWidth="1"/>
    <col min="5" max="5" width="10.86328125" bestFit="1" customWidth="1"/>
    <col min="6" max="6" width="22.6640625" style="5" customWidth="1"/>
    <col min="7" max="7" width="11.06640625" style="5" customWidth="1"/>
    <col min="8" max="8" width="8.9296875" style="5"/>
  </cols>
  <sheetData>
    <row r="1" spans="1:8" s="2" customFormat="1" x14ac:dyDescent="0.45">
      <c r="A1" s="1" t="s">
        <v>0</v>
      </c>
      <c r="B1" s="3" t="s">
        <v>1</v>
      </c>
      <c r="C1" s="1" t="s">
        <v>2</v>
      </c>
      <c r="E1" t="str" cm="1">
        <f t="array" ref="E1:H6">_xlfn._xlws.PY(0,0,nyc_pop[#All])</f>
        <v>borough</v>
      </c>
      <c r="F1" s="5" t="str">
        <v>population</v>
      </c>
      <c r="G1" s="5" t="str">
        <v>land_area</v>
      </c>
      <c r="H1" s="5" t="str">
        <v>density</v>
      </c>
    </row>
    <row r="2" spans="1:8" x14ac:dyDescent="0.45">
      <c r="A2" t="s">
        <v>4</v>
      </c>
      <c r="B2" s="4">
        <v>2736074</v>
      </c>
      <c r="C2">
        <v>69.5</v>
      </c>
      <c r="E2" t="str">
        <v>Brooklyn</v>
      </c>
      <c r="F2" s="5">
        <v>2736074</v>
      </c>
      <c r="G2" s="5">
        <v>69.5</v>
      </c>
      <c r="H2" s="5">
        <v>39367.971223021581</v>
      </c>
    </row>
    <row r="3" spans="1:8" x14ac:dyDescent="0.45">
      <c r="A3" t="s">
        <v>5</v>
      </c>
      <c r="B3" s="4">
        <v>2405464</v>
      </c>
      <c r="C3">
        <v>108.7</v>
      </c>
      <c r="E3" t="str">
        <v>Queens</v>
      </c>
      <c r="F3" s="5">
        <v>2405464</v>
      </c>
      <c r="G3" s="5">
        <v>108.7</v>
      </c>
      <c r="H3" s="5">
        <v>22129.383624655013</v>
      </c>
    </row>
    <row r="4" spans="1:8" x14ac:dyDescent="0.45">
      <c r="A4" t="s">
        <v>3</v>
      </c>
      <c r="B4" s="4">
        <v>1694251</v>
      </c>
      <c r="C4">
        <v>22.83</v>
      </c>
      <c r="E4" t="str">
        <v>Manhattan</v>
      </c>
      <c r="F4" s="5">
        <v>1694251</v>
      </c>
      <c r="G4" s="5">
        <v>22.83</v>
      </c>
      <c r="H4" s="5">
        <v>74211.607533946561</v>
      </c>
    </row>
    <row r="5" spans="1:8" x14ac:dyDescent="0.45">
      <c r="A5" t="s">
        <v>237</v>
      </c>
      <c r="B5" s="4">
        <v>1472654</v>
      </c>
      <c r="C5">
        <v>42.1</v>
      </c>
      <c r="E5" t="str">
        <v>The Bronx</v>
      </c>
      <c r="F5" s="5">
        <v>1472654</v>
      </c>
      <c r="G5" s="5">
        <v>42.1</v>
      </c>
      <c r="H5" s="5">
        <v>34979.904988123511</v>
      </c>
    </row>
    <row r="6" spans="1:8" x14ac:dyDescent="0.45">
      <c r="A6" t="s">
        <v>6</v>
      </c>
      <c r="B6" s="4">
        <v>495747</v>
      </c>
      <c r="C6">
        <v>58.37</v>
      </c>
      <c r="E6" t="str">
        <v>Staten Island</v>
      </c>
      <c r="F6" s="5">
        <v>495747</v>
      </c>
      <c r="G6" s="5">
        <v>58.37</v>
      </c>
      <c r="H6" s="5">
        <v>8493.1814288161731</v>
      </c>
    </row>
    <row r="8" spans="1:8" x14ac:dyDescent="0.45">
      <c r="E8" t="str" cm="1">
        <f t="array" ref="E8:E13">_xlfn.CHOOSECOLS(_xlfn.ANCHORARRAY(E1), 2)</f>
        <v>population</v>
      </c>
    </row>
    <row r="9" spans="1:8" x14ac:dyDescent="0.45">
      <c r="E9">
        <v>2736074</v>
      </c>
    </row>
    <row r="10" spans="1:8" x14ac:dyDescent="0.45">
      <c r="E10">
        <v>2405464</v>
      </c>
    </row>
    <row r="11" spans="1:8" x14ac:dyDescent="0.45">
      <c r="E11">
        <v>1694251</v>
      </c>
    </row>
    <row r="12" spans="1:8" x14ac:dyDescent="0.45">
      <c r="E12">
        <v>1472654</v>
      </c>
    </row>
    <row r="13" spans="1:8" x14ac:dyDescent="0.45">
      <c r="E13">
        <v>495747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1"/>
  <sheetViews>
    <sheetView workbookViewId="0"/>
  </sheetViews>
  <sheetFormatPr defaultRowHeight="14.25" x14ac:dyDescent="0.45"/>
  <cols>
    <col min="1" max="1" width="12" customWidth="1"/>
    <col min="2" max="2" width="18" customWidth="1"/>
    <col min="3" max="3" width="16" customWidth="1"/>
    <col min="4" max="4" width="12" customWidth="1"/>
    <col min="5" max="5" width="10" customWidth="1"/>
    <col min="6" max="6" width="14" customWidth="1"/>
    <col min="7" max="7" width="18" customWidth="1"/>
  </cols>
  <sheetData>
    <row r="1" spans="1:7" s="2" customFormat="1" x14ac:dyDescent="0.4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 x14ac:dyDescent="0.45">
      <c r="A2" t="s">
        <v>14</v>
      </c>
      <c r="B2" t="s">
        <v>15</v>
      </c>
      <c r="C2" t="s">
        <v>16</v>
      </c>
      <c r="D2">
        <v>68.760000000000005</v>
      </c>
      <c r="E2">
        <v>5</v>
      </c>
      <c r="F2">
        <v>37</v>
      </c>
      <c r="G2" t="s">
        <v>17</v>
      </c>
    </row>
    <row r="3" spans="1:7" x14ac:dyDescent="0.45">
      <c r="A3" t="s">
        <v>18</v>
      </c>
      <c r="B3" t="s">
        <v>19</v>
      </c>
      <c r="C3" t="s">
        <v>16</v>
      </c>
      <c r="D3">
        <v>115.2</v>
      </c>
      <c r="E3">
        <v>7</v>
      </c>
      <c r="F3">
        <v>24</v>
      </c>
      <c r="G3" t="s">
        <v>17</v>
      </c>
    </row>
    <row r="4" spans="1:7" x14ac:dyDescent="0.45">
      <c r="A4" t="s">
        <v>20</v>
      </c>
      <c r="B4" t="s">
        <v>19</v>
      </c>
      <c r="C4" t="s">
        <v>16</v>
      </c>
      <c r="D4">
        <v>69.900000000000006</v>
      </c>
      <c r="E4">
        <v>4</v>
      </c>
      <c r="F4">
        <v>63</v>
      </c>
      <c r="G4" t="s">
        <v>21</v>
      </c>
    </row>
    <row r="5" spans="1:7" x14ac:dyDescent="0.45">
      <c r="A5" t="s">
        <v>22</v>
      </c>
      <c r="B5" t="s">
        <v>23</v>
      </c>
      <c r="C5" t="s">
        <v>24</v>
      </c>
      <c r="D5">
        <v>15.35</v>
      </c>
      <c r="E5">
        <v>1</v>
      </c>
      <c r="F5">
        <v>32</v>
      </c>
      <c r="G5" t="s">
        <v>21</v>
      </c>
    </row>
    <row r="6" spans="1:7" x14ac:dyDescent="0.45">
      <c r="A6" t="s">
        <v>25</v>
      </c>
      <c r="B6" t="s">
        <v>26</v>
      </c>
      <c r="C6" t="s">
        <v>27</v>
      </c>
      <c r="D6">
        <v>479.68</v>
      </c>
      <c r="E6">
        <v>6</v>
      </c>
      <c r="F6">
        <v>28</v>
      </c>
      <c r="G6" t="s">
        <v>17</v>
      </c>
    </row>
    <row r="7" spans="1:7" x14ac:dyDescent="0.45">
      <c r="A7" t="s">
        <v>28</v>
      </c>
      <c r="B7" t="s">
        <v>23</v>
      </c>
      <c r="C7" t="s">
        <v>24</v>
      </c>
      <c r="D7">
        <v>14.7</v>
      </c>
      <c r="E7">
        <v>1</v>
      </c>
      <c r="F7">
        <v>51</v>
      </c>
      <c r="G7" t="s">
        <v>29</v>
      </c>
    </row>
    <row r="8" spans="1:7" x14ac:dyDescent="0.45">
      <c r="A8" t="s">
        <v>30</v>
      </c>
      <c r="B8" t="s">
        <v>31</v>
      </c>
      <c r="C8" t="s">
        <v>24</v>
      </c>
      <c r="D8">
        <v>28.5</v>
      </c>
      <c r="E8">
        <v>10</v>
      </c>
      <c r="F8">
        <v>45</v>
      </c>
      <c r="G8" t="s">
        <v>29</v>
      </c>
    </row>
    <row r="9" spans="1:7" x14ac:dyDescent="0.45">
      <c r="A9" t="s">
        <v>32</v>
      </c>
      <c r="B9" t="s">
        <v>26</v>
      </c>
      <c r="C9" t="s">
        <v>27</v>
      </c>
      <c r="D9">
        <v>392.21</v>
      </c>
      <c r="E9">
        <v>2</v>
      </c>
      <c r="F9">
        <v>36</v>
      </c>
      <c r="G9" t="s">
        <v>33</v>
      </c>
    </row>
    <row r="10" spans="1:7" x14ac:dyDescent="0.45">
      <c r="A10" t="s">
        <v>34</v>
      </c>
      <c r="B10" t="s">
        <v>35</v>
      </c>
      <c r="C10" t="s">
        <v>24</v>
      </c>
      <c r="D10">
        <v>9.81</v>
      </c>
      <c r="E10">
        <v>6</v>
      </c>
      <c r="F10">
        <v>35</v>
      </c>
      <c r="G10" t="s">
        <v>21</v>
      </c>
    </row>
    <row r="11" spans="1:7" x14ac:dyDescent="0.45">
      <c r="A11" t="s">
        <v>36</v>
      </c>
      <c r="B11" t="s">
        <v>15</v>
      </c>
      <c r="C11" t="s">
        <v>16</v>
      </c>
      <c r="D11">
        <v>506.85</v>
      </c>
      <c r="E11">
        <v>3</v>
      </c>
      <c r="F11">
        <v>56</v>
      </c>
      <c r="G11" t="s">
        <v>21</v>
      </c>
    </row>
    <row r="12" spans="1:7" x14ac:dyDescent="0.45">
      <c r="A12" t="s">
        <v>37</v>
      </c>
      <c r="B12" t="s">
        <v>35</v>
      </c>
      <c r="C12" t="s">
        <v>24</v>
      </c>
      <c r="D12">
        <v>49.5</v>
      </c>
      <c r="E12">
        <v>9</v>
      </c>
      <c r="F12">
        <v>36</v>
      </c>
      <c r="G12" t="s">
        <v>21</v>
      </c>
    </row>
    <row r="13" spans="1:7" x14ac:dyDescent="0.45">
      <c r="A13" t="s">
        <v>38</v>
      </c>
      <c r="B13" t="s">
        <v>26</v>
      </c>
      <c r="C13" t="s">
        <v>27</v>
      </c>
      <c r="D13">
        <v>415.36</v>
      </c>
      <c r="E13">
        <v>6</v>
      </c>
      <c r="F13">
        <v>47</v>
      </c>
      <c r="G13" t="s">
        <v>17</v>
      </c>
    </row>
    <row r="14" spans="1:7" x14ac:dyDescent="0.45">
      <c r="A14" t="s">
        <v>39</v>
      </c>
      <c r="B14" t="s">
        <v>40</v>
      </c>
      <c r="C14" t="s">
        <v>16</v>
      </c>
      <c r="D14">
        <v>209.47</v>
      </c>
      <c r="E14">
        <v>8</v>
      </c>
      <c r="F14">
        <v>47</v>
      </c>
      <c r="G14" t="s">
        <v>33</v>
      </c>
    </row>
    <row r="15" spans="1:7" x14ac:dyDescent="0.45">
      <c r="A15" t="s">
        <v>41</v>
      </c>
      <c r="B15" t="s">
        <v>42</v>
      </c>
      <c r="C15" t="s">
        <v>27</v>
      </c>
      <c r="D15">
        <v>91.32</v>
      </c>
      <c r="E15">
        <v>9</v>
      </c>
      <c r="F15">
        <v>56</v>
      </c>
      <c r="G15" t="s">
        <v>17</v>
      </c>
    </row>
    <row r="16" spans="1:7" x14ac:dyDescent="0.45">
      <c r="A16" t="s">
        <v>43</v>
      </c>
      <c r="B16" t="s">
        <v>44</v>
      </c>
      <c r="C16" t="s">
        <v>16</v>
      </c>
      <c r="D16">
        <v>321.5</v>
      </c>
      <c r="E16">
        <v>3</v>
      </c>
      <c r="F16">
        <v>54</v>
      </c>
      <c r="G16" t="s">
        <v>29</v>
      </c>
    </row>
    <row r="17" spans="1:7" x14ac:dyDescent="0.45">
      <c r="A17" t="s">
        <v>45</v>
      </c>
      <c r="B17" t="s">
        <v>26</v>
      </c>
      <c r="C17" t="s">
        <v>27</v>
      </c>
      <c r="D17">
        <v>323.04000000000002</v>
      </c>
      <c r="E17">
        <v>7</v>
      </c>
      <c r="F17">
        <v>60</v>
      </c>
      <c r="G17" t="s">
        <v>17</v>
      </c>
    </row>
    <row r="18" spans="1:7" x14ac:dyDescent="0.45">
      <c r="A18" t="s">
        <v>46</v>
      </c>
      <c r="B18" t="s">
        <v>23</v>
      </c>
      <c r="C18" t="s">
        <v>24</v>
      </c>
      <c r="D18">
        <v>14.07</v>
      </c>
      <c r="E18">
        <v>9</v>
      </c>
      <c r="F18">
        <v>22</v>
      </c>
      <c r="G18" t="s">
        <v>21</v>
      </c>
    </row>
    <row r="19" spans="1:7" x14ac:dyDescent="0.45">
      <c r="A19" t="s">
        <v>47</v>
      </c>
      <c r="B19" t="s">
        <v>40</v>
      </c>
      <c r="C19" t="s">
        <v>16</v>
      </c>
      <c r="D19">
        <v>626.45000000000005</v>
      </c>
      <c r="E19">
        <v>6</v>
      </c>
      <c r="F19">
        <v>29</v>
      </c>
      <c r="G19" t="s">
        <v>17</v>
      </c>
    </row>
    <row r="20" spans="1:7" x14ac:dyDescent="0.45">
      <c r="A20" t="s">
        <v>48</v>
      </c>
      <c r="B20" t="s">
        <v>42</v>
      </c>
      <c r="C20" t="s">
        <v>27</v>
      </c>
      <c r="D20">
        <v>486.65</v>
      </c>
      <c r="E20">
        <v>3</v>
      </c>
      <c r="F20">
        <v>54</v>
      </c>
      <c r="G20" t="s">
        <v>49</v>
      </c>
    </row>
    <row r="21" spans="1:7" x14ac:dyDescent="0.45">
      <c r="A21" t="s">
        <v>50</v>
      </c>
      <c r="B21" t="s">
        <v>23</v>
      </c>
      <c r="C21" t="s">
        <v>24</v>
      </c>
      <c r="D21">
        <v>31.23</v>
      </c>
      <c r="E21">
        <v>3</v>
      </c>
      <c r="F21">
        <v>45</v>
      </c>
      <c r="G21" t="s">
        <v>33</v>
      </c>
    </row>
    <row r="22" spans="1:7" x14ac:dyDescent="0.45">
      <c r="A22" t="s">
        <v>51</v>
      </c>
      <c r="B22" t="s">
        <v>15</v>
      </c>
      <c r="C22" t="s">
        <v>16</v>
      </c>
      <c r="D22">
        <v>499.21</v>
      </c>
      <c r="E22">
        <v>8</v>
      </c>
      <c r="F22">
        <v>23</v>
      </c>
      <c r="G22" t="s">
        <v>17</v>
      </c>
    </row>
    <row r="23" spans="1:7" x14ac:dyDescent="0.45">
      <c r="A23" t="s">
        <v>52</v>
      </c>
      <c r="B23" t="s">
        <v>53</v>
      </c>
      <c r="C23" t="s">
        <v>24</v>
      </c>
      <c r="D23">
        <v>4.78</v>
      </c>
      <c r="E23">
        <v>10</v>
      </c>
      <c r="F23">
        <v>27</v>
      </c>
      <c r="G23" t="s">
        <v>17</v>
      </c>
    </row>
    <row r="24" spans="1:7" x14ac:dyDescent="0.45">
      <c r="A24" t="s">
        <v>54</v>
      </c>
      <c r="B24" t="s">
        <v>55</v>
      </c>
      <c r="C24" t="s">
        <v>27</v>
      </c>
      <c r="D24">
        <v>388.77</v>
      </c>
      <c r="E24">
        <v>3</v>
      </c>
      <c r="F24">
        <v>64</v>
      </c>
      <c r="G24" t="s">
        <v>29</v>
      </c>
    </row>
    <row r="25" spans="1:7" x14ac:dyDescent="0.45">
      <c r="A25" t="s">
        <v>56</v>
      </c>
      <c r="B25" t="s">
        <v>23</v>
      </c>
      <c r="C25" t="s">
        <v>24</v>
      </c>
      <c r="D25">
        <v>43.88</v>
      </c>
      <c r="E25">
        <v>7</v>
      </c>
      <c r="F25">
        <v>35</v>
      </c>
      <c r="G25" t="s">
        <v>49</v>
      </c>
    </row>
    <row r="26" spans="1:7" x14ac:dyDescent="0.45">
      <c r="A26" t="s">
        <v>57</v>
      </c>
      <c r="B26" t="s">
        <v>58</v>
      </c>
      <c r="C26" t="s">
        <v>16</v>
      </c>
      <c r="D26">
        <v>584.71</v>
      </c>
      <c r="E26">
        <v>7</v>
      </c>
      <c r="F26">
        <v>64</v>
      </c>
      <c r="G26" t="s">
        <v>21</v>
      </c>
    </row>
    <row r="27" spans="1:7" x14ac:dyDescent="0.45">
      <c r="A27" t="s">
        <v>59</v>
      </c>
      <c r="B27" t="s">
        <v>44</v>
      </c>
      <c r="C27" t="s">
        <v>16</v>
      </c>
      <c r="D27">
        <v>140.75</v>
      </c>
      <c r="E27">
        <v>4</v>
      </c>
      <c r="F27">
        <v>26</v>
      </c>
      <c r="G27" t="s">
        <v>17</v>
      </c>
    </row>
    <row r="28" spans="1:7" x14ac:dyDescent="0.45">
      <c r="A28" t="s">
        <v>60</v>
      </c>
      <c r="B28" t="s">
        <v>55</v>
      </c>
      <c r="C28" t="s">
        <v>27</v>
      </c>
      <c r="D28">
        <v>129.6</v>
      </c>
      <c r="E28">
        <v>2</v>
      </c>
      <c r="F28">
        <v>62</v>
      </c>
      <c r="G28" t="s">
        <v>17</v>
      </c>
    </row>
    <row r="29" spans="1:7" x14ac:dyDescent="0.45">
      <c r="A29" t="s">
        <v>61</v>
      </c>
      <c r="B29" t="s">
        <v>42</v>
      </c>
      <c r="C29" t="s">
        <v>27</v>
      </c>
      <c r="D29">
        <v>58.66</v>
      </c>
      <c r="E29">
        <v>4</v>
      </c>
      <c r="F29">
        <v>39</v>
      </c>
      <c r="G29" t="s">
        <v>21</v>
      </c>
    </row>
    <row r="30" spans="1:7" x14ac:dyDescent="0.45">
      <c r="A30" t="s">
        <v>62</v>
      </c>
      <c r="B30" t="s">
        <v>55</v>
      </c>
      <c r="C30" t="s">
        <v>27</v>
      </c>
      <c r="D30">
        <v>298.7</v>
      </c>
      <c r="E30">
        <v>4</v>
      </c>
      <c r="F30">
        <v>52</v>
      </c>
      <c r="G30" t="s">
        <v>33</v>
      </c>
    </row>
    <row r="31" spans="1:7" x14ac:dyDescent="0.45">
      <c r="A31" t="s">
        <v>63</v>
      </c>
      <c r="B31" t="s">
        <v>64</v>
      </c>
      <c r="C31" t="s">
        <v>27</v>
      </c>
      <c r="D31">
        <v>193.29</v>
      </c>
      <c r="E31">
        <v>7</v>
      </c>
      <c r="F31">
        <v>51</v>
      </c>
      <c r="G31" t="s">
        <v>33</v>
      </c>
    </row>
    <row r="32" spans="1:7" x14ac:dyDescent="0.45">
      <c r="A32" t="s">
        <v>65</v>
      </c>
      <c r="B32" t="s">
        <v>15</v>
      </c>
      <c r="C32" t="s">
        <v>16</v>
      </c>
      <c r="D32">
        <v>95.46</v>
      </c>
      <c r="E32">
        <v>6</v>
      </c>
      <c r="F32">
        <v>28</v>
      </c>
      <c r="G32" t="s">
        <v>17</v>
      </c>
    </row>
    <row r="33" spans="1:7" x14ac:dyDescent="0.45">
      <c r="A33" t="s">
        <v>66</v>
      </c>
      <c r="B33" t="s">
        <v>53</v>
      </c>
      <c r="C33" t="s">
        <v>24</v>
      </c>
      <c r="D33">
        <v>22.25</v>
      </c>
      <c r="E33">
        <v>5</v>
      </c>
      <c r="F33">
        <v>51</v>
      </c>
      <c r="G33" t="s">
        <v>17</v>
      </c>
    </row>
    <row r="34" spans="1:7" x14ac:dyDescent="0.45">
      <c r="A34" t="s">
        <v>67</v>
      </c>
      <c r="B34" t="s">
        <v>23</v>
      </c>
      <c r="C34" t="s">
        <v>24</v>
      </c>
      <c r="D34">
        <v>6.7</v>
      </c>
      <c r="E34">
        <v>9</v>
      </c>
      <c r="F34">
        <v>22</v>
      </c>
      <c r="G34" t="s">
        <v>49</v>
      </c>
    </row>
    <row r="35" spans="1:7" x14ac:dyDescent="0.45">
      <c r="A35" t="s">
        <v>68</v>
      </c>
      <c r="B35" t="s">
        <v>26</v>
      </c>
      <c r="C35" t="s">
        <v>27</v>
      </c>
      <c r="D35">
        <v>218.05</v>
      </c>
      <c r="E35">
        <v>8</v>
      </c>
      <c r="F35">
        <v>35</v>
      </c>
      <c r="G35" t="s">
        <v>33</v>
      </c>
    </row>
    <row r="36" spans="1:7" x14ac:dyDescent="0.45">
      <c r="A36" t="s">
        <v>69</v>
      </c>
      <c r="B36" t="s">
        <v>64</v>
      </c>
      <c r="C36" t="s">
        <v>27</v>
      </c>
      <c r="D36">
        <v>26.02</v>
      </c>
      <c r="E36">
        <v>7</v>
      </c>
      <c r="F36">
        <v>38</v>
      </c>
      <c r="G36" t="s">
        <v>49</v>
      </c>
    </row>
    <row r="37" spans="1:7" x14ac:dyDescent="0.45">
      <c r="A37" t="s">
        <v>70</v>
      </c>
      <c r="B37" t="s">
        <v>71</v>
      </c>
      <c r="C37" t="s">
        <v>24</v>
      </c>
      <c r="D37">
        <v>35.44</v>
      </c>
      <c r="E37">
        <v>9</v>
      </c>
      <c r="F37">
        <v>64</v>
      </c>
      <c r="G37" t="s">
        <v>21</v>
      </c>
    </row>
    <row r="38" spans="1:7" x14ac:dyDescent="0.45">
      <c r="A38" t="s">
        <v>72</v>
      </c>
      <c r="B38" t="s">
        <v>53</v>
      </c>
      <c r="C38" t="s">
        <v>24</v>
      </c>
      <c r="D38">
        <v>48.5</v>
      </c>
      <c r="E38">
        <v>10</v>
      </c>
      <c r="F38">
        <v>56</v>
      </c>
      <c r="G38" t="s">
        <v>17</v>
      </c>
    </row>
    <row r="39" spans="1:7" x14ac:dyDescent="0.45">
      <c r="A39" t="s">
        <v>73</v>
      </c>
      <c r="B39" t="s">
        <v>55</v>
      </c>
      <c r="C39" t="s">
        <v>27</v>
      </c>
      <c r="D39">
        <v>251.47</v>
      </c>
      <c r="E39">
        <v>9</v>
      </c>
      <c r="F39">
        <v>32</v>
      </c>
      <c r="G39" t="s">
        <v>17</v>
      </c>
    </row>
    <row r="40" spans="1:7" x14ac:dyDescent="0.45">
      <c r="A40" t="s">
        <v>74</v>
      </c>
      <c r="B40" t="s">
        <v>75</v>
      </c>
      <c r="C40" t="s">
        <v>27</v>
      </c>
      <c r="D40">
        <v>307.64</v>
      </c>
      <c r="E40">
        <v>4</v>
      </c>
      <c r="F40">
        <v>47</v>
      </c>
      <c r="G40" t="s">
        <v>17</v>
      </c>
    </row>
    <row r="41" spans="1:7" x14ac:dyDescent="0.45">
      <c r="A41" t="s">
        <v>76</v>
      </c>
      <c r="B41" t="s">
        <v>55</v>
      </c>
      <c r="C41" t="s">
        <v>27</v>
      </c>
      <c r="D41">
        <v>307.39999999999998</v>
      </c>
      <c r="E41">
        <v>10</v>
      </c>
      <c r="F41">
        <v>27</v>
      </c>
      <c r="G41" t="s">
        <v>29</v>
      </c>
    </row>
    <row r="42" spans="1:7" x14ac:dyDescent="0.45">
      <c r="A42" t="s">
        <v>77</v>
      </c>
      <c r="B42" t="s">
        <v>40</v>
      </c>
      <c r="C42" t="s">
        <v>16</v>
      </c>
      <c r="D42">
        <v>751.03</v>
      </c>
      <c r="E42">
        <v>4</v>
      </c>
      <c r="F42">
        <v>64</v>
      </c>
      <c r="G42" t="s">
        <v>21</v>
      </c>
    </row>
    <row r="43" spans="1:7" x14ac:dyDescent="0.45">
      <c r="A43" t="s">
        <v>78</v>
      </c>
      <c r="B43" t="s">
        <v>53</v>
      </c>
      <c r="C43" t="s">
        <v>24</v>
      </c>
      <c r="D43">
        <v>34.24</v>
      </c>
      <c r="E43">
        <v>5</v>
      </c>
      <c r="F43">
        <v>51</v>
      </c>
      <c r="G43" t="s">
        <v>17</v>
      </c>
    </row>
    <row r="44" spans="1:7" x14ac:dyDescent="0.45">
      <c r="A44" t="s">
        <v>79</v>
      </c>
      <c r="B44" t="s">
        <v>75</v>
      </c>
      <c r="C44" t="s">
        <v>27</v>
      </c>
      <c r="D44">
        <v>242.69</v>
      </c>
      <c r="E44">
        <v>10</v>
      </c>
      <c r="F44">
        <v>28</v>
      </c>
      <c r="G44" t="s">
        <v>17</v>
      </c>
    </row>
    <row r="45" spans="1:7" x14ac:dyDescent="0.45">
      <c r="A45" t="s">
        <v>80</v>
      </c>
      <c r="B45" t="s">
        <v>53</v>
      </c>
      <c r="C45" t="s">
        <v>24</v>
      </c>
      <c r="D45">
        <v>46.8</v>
      </c>
      <c r="E45">
        <v>2</v>
      </c>
      <c r="F45">
        <v>37</v>
      </c>
      <c r="G45" t="s">
        <v>17</v>
      </c>
    </row>
    <row r="46" spans="1:7" x14ac:dyDescent="0.45">
      <c r="A46" t="s">
        <v>81</v>
      </c>
      <c r="B46" t="s">
        <v>40</v>
      </c>
      <c r="C46" t="s">
        <v>16</v>
      </c>
      <c r="D46">
        <v>508.76</v>
      </c>
      <c r="E46">
        <v>9</v>
      </c>
      <c r="F46">
        <v>22</v>
      </c>
      <c r="G46" t="s">
        <v>21</v>
      </c>
    </row>
    <row r="47" spans="1:7" x14ac:dyDescent="0.45">
      <c r="A47" t="s">
        <v>82</v>
      </c>
      <c r="B47" t="s">
        <v>15</v>
      </c>
      <c r="C47" t="s">
        <v>16</v>
      </c>
      <c r="D47">
        <v>754.2</v>
      </c>
      <c r="E47">
        <v>3</v>
      </c>
      <c r="F47">
        <v>38</v>
      </c>
      <c r="G47" t="s">
        <v>17</v>
      </c>
    </row>
    <row r="48" spans="1:7" x14ac:dyDescent="0.45">
      <c r="A48" t="s">
        <v>83</v>
      </c>
      <c r="B48" t="s">
        <v>58</v>
      </c>
      <c r="C48" t="s">
        <v>16</v>
      </c>
      <c r="D48">
        <v>254.26</v>
      </c>
      <c r="E48">
        <v>10</v>
      </c>
      <c r="F48">
        <v>35</v>
      </c>
      <c r="G48" t="s">
        <v>21</v>
      </c>
    </row>
    <row r="49" spans="1:7" x14ac:dyDescent="0.45">
      <c r="A49" t="s">
        <v>84</v>
      </c>
      <c r="B49" t="s">
        <v>40</v>
      </c>
      <c r="C49" t="s">
        <v>16</v>
      </c>
      <c r="D49">
        <v>429.06</v>
      </c>
      <c r="E49">
        <v>5</v>
      </c>
      <c r="F49">
        <v>25</v>
      </c>
      <c r="G49" t="s">
        <v>17</v>
      </c>
    </row>
    <row r="50" spans="1:7" x14ac:dyDescent="0.45">
      <c r="A50" t="s">
        <v>85</v>
      </c>
      <c r="B50" t="s">
        <v>31</v>
      </c>
      <c r="C50" t="s">
        <v>24</v>
      </c>
      <c r="D50">
        <v>2.17</v>
      </c>
      <c r="E50">
        <v>3</v>
      </c>
      <c r="F50">
        <v>62</v>
      </c>
      <c r="G50" t="s">
        <v>49</v>
      </c>
    </row>
    <row r="51" spans="1:7" x14ac:dyDescent="0.45">
      <c r="A51" t="s">
        <v>86</v>
      </c>
      <c r="B51" t="s">
        <v>23</v>
      </c>
      <c r="C51" t="s">
        <v>24</v>
      </c>
      <c r="D51">
        <v>35.869999999999997</v>
      </c>
      <c r="E51">
        <v>9</v>
      </c>
      <c r="F51">
        <v>22</v>
      </c>
      <c r="G51" t="s">
        <v>17</v>
      </c>
    </row>
    <row r="52" spans="1:7" x14ac:dyDescent="0.45">
      <c r="A52" t="s">
        <v>87</v>
      </c>
      <c r="B52" t="s">
        <v>58</v>
      </c>
      <c r="C52" t="s">
        <v>16</v>
      </c>
      <c r="D52">
        <v>459.19</v>
      </c>
      <c r="E52">
        <v>6</v>
      </c>
      <c r="F52">
        <v>59</v>
      </c>
      <c r="G52" t="s">
        <v>29</v>
      </c>
    </row>
    <row r="53" spans="1:7" x14ac:dyDescent="0.45">
      <c r="A53" t="s">
        <v>88</v>
      </c>
      <c r="B53" t="s">
        <v>42</v>
      </c>
      <c r="C53" t="s">
        <v>27</v>
      </c>
      <c r="D53">
        <v>198.21</v>
      </c>
      <c r="E53">
        <v>1</v>
      </c>
      <c r="F53">
        <v>44</v>
      </c>
      <c r="G53" t="s">
        <v>17</v>
      </c>
    </row>
    <row r="54" spans="1:7" x14ac:dyDescent="0.45">
      <c r="A54" t="s">
        <v>89</v>
      </c>
      <c r="B54" t="s">
        <v>42</v>
      </c>
      <c r="C54" t="s">
        <v>27</v>
      </c>
      <c r="D54">
        <v>395.56</v>
      </c>
      <c r="E54">
        <v>7</v>
      </c>
      <c r="F54">
        <v>61</v>
      </c>
      <c r="G54" t="s">
        <v>21</v>
      </c>
    </row>
    <row r="55" spans="1:7" x14ac:dyDescent="0.45">
      <c r="A55" t="s">
        <v>90</v>
      </c>
      <c r="B55" t="s">
        <v>26</v>
      </c>
      <c r="C55" t="s">
        <v>27</v>
      </c>
      <c r="D55">
        <v>488.7</v>
      </c>
      <c r="E55">
        <v>3</v>
      </c>
      <c r="F55">
        <v>48</v>
      </c>
      <c r="G55" t="s">
        <v>17</v>
      </c>
    </row>
    <row r="56" spans="1:7" x14ac:dyDescent="0.45">
      <c r="A56" t="s">
        <v>91</v>
      </c>
      <c r="B56" t="s">
        <v>71</v>
      </c>
      <c r="C56" t="s">
        <v>24</v>
      </c>
      <c r="D56">
        <v>40.51</v>
      </c>
      <c r="E56">
        <v>4</v>
      </c>
      <c r="F56">
        <v>39</v>
      </c>
      <c r="G56" t="s">
        <v>17</v>
      </c>
    </row>
    <row r="57" spans="1:7" x14ac:dyDescent="0.45">
      <c r="A57" t="s">
        <v>92</v>
      </c>
      <c r="B57" t="s">
        <v>31</v>
      </c>
      <c r="C57" t="s">
        <v>24</v>
      </c>
      <c r="D57">
        <v>43.21</v>
      </c>
      <c r="E57">
        <v>4</v>
      </c>
      <c r="F57">
        <v>34</v>
      </c>
      <c r="G57" t="s">
        <v>33</v>
      </c>
    </row>
    <row r="58" spans="1:7" x14ac:dyDescent="0.45">
      <c r="A58" t="s">
        <v>93</v>
      </c>
      <c r="B58" t="s">
        <v>53</v>
      </c>
      <c r="C58" t="s">
        <v>24</v>
      </c>
      <c r="D58">
        <v>12.7</v>
      </c>
      <c r="E58">
        <v>4</v>
      </c>
      <c r="F58">
        <v>47</v>
      </c>
      <c r="G58" t="s">
        <v>17</v>
      </c>
    </row>
    <row r="59" spans="1:7" x14ac:dyDescent="0.45">
      <c r="A59" t="s">
        <v>94</v>
      </c>
      <c r="B59" t="s">
        <v>35</v>
      </c>
      <c r="C59" t="s">
        <v>24</v>
      </c>
      <c r="D59">
        <v>32.79</v>
      </c>
      <c r="E59">
        <v>7</v>
      </c>
      <c r="F59">
        <v>65</v>
      </c>
      <c r="G59" t="s">
        <v>49</v>
      </c>
    </row>
    <row r="60" spans="1:7" x14ac:dyDescent="0.45">
      <c r="A60" t="s">
        <v>95</v>
      </c>
      <c r="B60" t="s">
        <v>75</v>
      </c>
      <c r="C60" t="s">
        <v>27</v>
      </c>
      <c r="D60">
        <v>441.59</v>
      </c>
      <c r="E60">
        <v>5</v>
      </c>
      <c r="F60">
        <v>33</v>
      </c>
      <c r="G60" t="s">
        <v>29</v>
      </c>
    </row>
    <row r="61" spans="1:7" x14ac:dyDescent="0.45">
      <c r="A61" t="s">
        <v>96</v>
      </c>
      <c r="B61" t="s">
        <v>75</v>
      </c>
      <c r="C61" t="s">
        <v>27</v>
      </c>
      <c r="D61">
        <v>308.37</v>
      </c>
      <c r="E61">
        <v>6</v>
      </c>
      <c r="F61">
        <v>42</v>
      </c>
      <c r="G61" t="s">
        <v>29</v>
      </c>
    </row>
    <row r="62" spans="1:7" x14ac:dyDescent="0.45">
      <c r="A62" t="s">
        <v>97</v>
      </c>
      <c r="B62" t="s">
        <v>64</v>
      </c>
      <c r="C62" t="s">
        <v>27</v>
      </c>
      <c r="D62">
        <v>452.26</v>
      </c>
      <c r="E62">
        <v>4</v>
      </c>
      <c r="F62">
        <v>38</v>
      </c>
      <c r="G62" t="s">
        <v>17</v>
      </c>
    </row>
    <row r="63" spans="1:7" x14ac:dyDescent="0.45">
      <c r="A63" t="s">
        <v>98</v>
      </c>
      <c r="B63" t="s">
        <v>19</v>
      </c>
      <c r="C63" t="s">
        <v>16</v>
      </c>
      <c r="D63">
        <v>565.14</v>
      </c>
      <c r="E63">
        <v>4</v>
      </c>
      <c r="F63">
        <v>45</v>
      </c>
      <c r="G63" t="s">
        <v>29</v>
      </c>
    </row>
    <row r="64" spans="1:7" x14ac:dyDescent="0.45">
      <c r="A64" t="s">
        <v>99</v>
      </c>
      <c r="B64" t="s">
        <v>23</v>
      </c>
      <c r="C64" t="s">
        <v>24</v>
      </c>
      <c r="D64">
        <v>17.07</v>
      </c>
      <c r="E64">
        <v>2</v>
      </c>
      <c r="F64">
        <v>41</v>
      </c>
      <c r="G64" t="s">
        <v>29</v>
      </c>
    </row>
    <row r="65" spans="1:7" x14ac:dyDescent="0.45">
      <c r="A65" t="s">
        <v>100</v>
      </c>
      <c r="B65" t="s">
        <v>71</v>
      </c>
      <c r="C65" t="s">
        <v>24</v>
      </c>
      <c r="D65">
        <v>35.47</v>
      </c>
      <c r="E65">
        <v>9</v>
      </c>
      <c r="F65">
        <v>30</v>
      </c>
      <c r="G65" t="s">
        <v>17</v>
      </c>
    </row>
    <row r="66" spans="1:7" x14ac:dyDescent="0.45">
      <c r="A66" t="s">
        <v>101</v>
      </c>
      <c r="B66" t="s">
        <v>53</v>
      </c>
      <c r="C66" t="s">
        <v>24</v>
      </c>
      <c r="D66">
        <v>31.54</v>
      </c>
      <c r="E66">
        <v>5</v>
      </c>
      <c r="G66" t="s">
        <v>29</v>
      </c>
    </row>
    <row r="67" spans="1:7" x14ac:dyDescent="0.45">
      <c r="A67" t="s">
        <v>102</v>
      </c>
      <c r="B67" t="s">
        <v>53</v>
      </c>
      <c r="C67" t="s">
        <v>24</v>
      </c>
      <c r="D67">
        <v>22.63</v>
      </c>
      <c r="E67">
        <v>10</v>
      </c>
      <c r="F67">
        <v>60</v>
      </c>
      <c r="G67" t="s">
        <v>21</v>
      </c>
    </row>
    <row r="68" spans="1:7" x14ac:dyDescent="0.45">
      <c r="A68" t="s">
        <v>103</v>
      </c>
      <c r="B68" t="s">
        <v>53</v>
      </c>
      <c r="C68" t="s">
        <v>24</v>
      </c>
      <c r="D68">
        <v>26.54</v>
      </c>
      <c r="E68">
        <v>3</v>
      </c>
      <c r="F68">
        <v>64</v>
      </c>
      <c r="G68" t="s">
        <v>17</v>
      </c>
    </row>
    <row r="69" spans="1:7" x14ac:dyDescent="0.45">
      <c r="A69" t="s">
        <v>104</v>
      </c>
      <c r="B69" t="s">
        <v>19</v>
      </c>
      <c r="C69" t="s">
        <v>16</v>
      </c>
      <c r="D69">
        <v>301.39</v>
      </c>
      <c r="E69">
        <v>4</v>
      </c>
      <c r="F69">
        <v>65</v>
      </c>
      <c r="G69" t="s">
        <v>17</v>
      </c>
    </row>
    <row r="70" spans="1:7" x14ac:dyDescent="0.45">
      <c r="A70" t="s">
        <v>105</v>
      </c>
      <c r="B70" t="s">
        <v>75</v>
      </c>
      <c r="C70" t="s">
        <v>27</v>
      </c>
      <c r="D70">
        <v>46.95</v>
      </c>
      <c r="E70">
        <v>8</v>
      </c>
      <c r="F70">
        <v>61</v>
      </c>
      <c r="G70" t="s">
        <v>33</v>
      </c>
    </row>
    <row r="71" spans="1:7" x14ac:dyDescent="0.45">
      <c r="A71" t="s">
        <v>106</v>
      </c>
      <c r="B71" t="s">
        <v>23</v>
      </c>
      <c r="C71" t="s">
        <v>24</v>
      </c>
      <c r="D71">
        <v>11.33</v>
      </c>
      <c r="E71">
        <v>7</v>
      </c>
      <c r="F71">
        <v>53</v>
      </c>
      <c r="G71" t="s">
        <v>17</v>
      </c>
    </row>
    <row r="72" spans="1:7" x14ac:dyDescent="0.45">
      <c r="A72" t="s">
        <v>107</v>
      </c>
      <c r="B72" t="s">
        <v>15</v>
      </c>
      <c r="C72" t="s">
        <v>16</v>
      </c>
      <c r="D72">
        <v>719.49</v>
      </c>
      <c r="E72">
        <v>2</v>
      </c>
      <c r="F72">
        <v>49</v>
      </c>
      <c r="G72" t="s">
        <v>17</v>
      </c>
    </row>
    <row r="73" spans="1:7" x14ac:dyDescent="0.45">
      <c r="A73" t="s">
        <v>108</v>
      </c>
      <c r="B73" t="s">
        <v>19</v>
      </c>
      <c r="C73" t="s">
        <v>16</v>
      </c>
      <c r="D73">
        <v>398.41</v>
      </c>
      <c r="E73">
        <v>9</v>
      </c>
      <c r="F73">
        <v>37</v>
      </c>
      <c r="G73" t="s">
        <v>49</v>
      </c>
    </row>
    <row r="74" spans="1:7" x14ac:dyDescent="0.45">
      <c r="A74" t="s">
        <v>109</v>
      </c>
      <c r="B74" t="s">
        <v>64</v>
      </c>
      <c r="C74" t="s">
        <v>27</v>
      </c>
      <c r="D74">
        <v>342.1</v>
      </c>
      <c r="E74">
        <v>9</v>
      </c>
      <c r="F74">
        <v>60</v>
      </c>
      <c r="G74" t="s">
        <v>17</v>
      </c>
    </row>
    <row r="75" spans="1:7" x14ac:dyDescent="0.45">
      <c r="A75" t="s">
        <v>110</v>
      </c>
      <c r="B75" t="s">
        <v>23</v>
      </c>
      <c r="C75" t="s">
        <v>24</v>
      </c>
      <c r="D75">
        <v>41.12</v>
      </c>
      <c r="E75">
        <v>9</v>
      </c>
      <c r="F75">
        <v>49</v>
      </c>
      <c r="G75" t="s">
        <v>33</v>
      </c>
    </row>
    <row r="76" spans="1:7" x14ac:dyDescent="0.45">
      <c r="A76" t="s">
        <v>111</v>
      </c>
      <c r="B76" t="s">
        <v>64</v>
      </c>
      <c r="C76" t="s">
        <v>27</v>
      </c>
      <c r="D76">
        <v>238.78</v>
      </c>
      <c r="E76">
        <v>4</v>
      </c>
      <c r="F76">
        <v>62</v>
      </c>
      <c r="G76" t="s">
        <v>17</v>
      </c>
    </row>
    <row r="77" spans="1:7" x14ac:dyDescent="0.45">
      <c r="A77" t="s">
        <v>112</v>
      </c>
      <c r="B77" t="s">
        <v>53</v>
      </c>
      <c r="C77" t="s">
        <v>24</v>
      </c>
      <c r="D77">
        <v>15.18</v>
      </c>
      <c r="E77">
        <v>2</v>
      </c>
      <c r="F77">
        <v>40</v>
      </c>
      <c r="G77" t="s">
        <v>17</v>
      </c>
    </row>
    <row r="78" spans="1:7" x14ac:dyDescent="0.45">
      <c r="A78" t="s">
        <v>113</v>
      </c>
      <c r="B78" t="s">
        <v>15</v>
      </c>
      <c r="C78" t="s">
        <v>16</v>
      </c>
      <c r="D78">
        <v>153.78</v>
      </c>
      <c r="E78">
        <v>4</v>
      </c>
      <c r="F78">
        <v>46</v>
      </c>
      <c r="G78" t="s">
        <v>21</v>
      </c>
    </row>
    <row r="79" spans="1:7" x14ac:dyDescent="0.45">
      <c r="A79" t="s">
        <v>114</v>
      </c>
      <c r="B79" t="s">
        <v>64</v>
      </c>
      <c r="C79" t="s">
        <v>27</v>
      </c>
      <c r="D79">
        <v>218.61</v>
      </c>
      <c r="E79">
        <v>9</v>
      </c>
      <c r="F79">
        <v>51</v>
      </c>
      <c r="G79" t="s">
        <v>29</v>
      </c>
    </row>
    <row r="80" spans="1:7" x14ac:dyDescent="0.45">
      <c r="A80" t="s">
        <v>115</v>
      </c>
      <c r="B80" t="s">
        <v>71</v>
      </c>
      <c r="C80" t="s">
        <v>24</v>
      </c>
      <c r="D80">
        <v>45.43</v>
      </c>
      <c r="E80">
        <v>10</v>
      </c>
      <c r="F80">
        <v>23</v>
      </c>
      <c r="G80" t="s">
        <v>33</v>
      </c>
    </row>
    <row r="81" spans="1:7" x14ac:dyDescent="0.45">
      <c r="A81" t="s">
        <v>116</v>
      </c>
      <c r="B81" t="s">
        <v>71</v>
      </c>
      <c r="C81" t="s">
        <v>24</v>
      </c>
      <c r="D81">
        <v>2.2799999999999998</v>
      </c>
      <c r="E81">
        <v>6</v>
      </c>
      <c r="F81">
        <v>41</v>
      </c>
      <c r="G81" t="s">
        <v>33</v>
      </c>
    </row>
    <row r="82" spans="1:7" x14ac:dyDescent="0.45">
      <c r="A82" t="s">
        <v>117</v>
      </c>
      <c r="B82" t="s">
        <v>23</v>
      </c>
      <c r="C82" t="s">
        <v>24</v>
      </c>
      <c r="D82">
        <v>37.880000000000003</v>
      </c>
      <c r="E82">
        <v>9</v>
      </c>
      <c r="F82">
        <v>60</v>
      </c>
      <c r="G82" t="s">
        <v>33</v>
      </c>
    </row>
    <row r="83" spans="1:7" x14ac:dyDescent="0.45">
      <c r="A83" t="s">
        <v>118</v>
      </c>
      <c r="B83" t="s">
        <v>71</v>
      </c>
      <c r="C83" t="s">
        <v>24</v>
      </c>
      <c r="D83">
        <v>25.31</v>
      </c>
      <c r="E83">
        <v>7</v>
      </c>
      <c r="F83">
        <v>43</v>
      </c>
      <c r="G83" t="s">
        <v>21</v>
      </c>
    </row>
    <row r="84" spans="1:7" x14ac:dyDescent="0.45">
      <c r="A84" t="s">
        <v>119</v>
      </c>
      <c r="B84" t="s">
        <v>58</v>
      </c>
      <c r="C84" t="s">
        <v>16</v>
      </c>
      <c r="D84">
        <v>680.38</v>
      </c>
      <c r="E84">
        <v>3</v>
      </c>
      <c r="F84">
        <v>61</v>
      </c>
      <c r="G84" t="s">
        <v>29</v>
      </c>
    </row>
    <row r="85" spans="1:7" x14ac:dyDescent="0.45">
      <c r="A85" t="s">
        <v>120</v>
      </c>
      <c r="B85" t="s">
        <v>19</v>
      </c>
      <c r="C85" t="s">
        <v>16</v>
      </c>
      <c r="D85">
        <v>547.25</v>
      </c>
      <c r="E85">
        <v>2</v>
      </c>
      <c r="F85">
        <v>63</v>
      </c>
      <c r="G85" t="s">
        <v>29</v>
      </c>
    </row>
    <row r="86" spans="1:7" x14ac:dyDescent="0.45">
      <c r="A86" t="s">
        <v>121</v>
      </c>
      <c r="B86" t="s">
        <v>75</v>
      </c>
      <c r="C86" t="s">
        <v>27</v>
      </c>
      <c r="D86">
        <v>148.57</v>
      </c>
      <c r="E86">
        <v>6</v>
      </c>
      <c r="F86">
        <v>35</v>
      </c>
      <c r="G86" t="s">
        <v>29</v>
      </c>
    </row>
    <row r="87" spans="1:7" x14ac:dyDescent="0.45">
      <c r="A87" t="s">
        <v>122</v>
      </c>
      <c r="B87" t="s">
        <v>35</v>
      </c>
      <c r="C87" t="s">
        <v>24</v>
      </c>
      <c r="D87">
        <v>38.1</v>
      </c>
      <c r="E87">
        <v>7</v>
      </c>
      <c r="F87">
        <v>38</v>
      </c>
      <c r="G87" t="s">
        <v>33</v>
      </c>
    </row>
    <row r="88" spans="1:7" x14ac:dyDescent="0.45">
      <c r="A88" t="s">
        <v>123</v>
      </c>
      <c r="B88" t="s">
        <v>19</v>
      </c>
      <c r="C88" t="s">
        <v>16</v>
      </c>
      <c r="D88">
        <v>89.06</v>
      </c>
      <c r="E88">
        <v>6</v>
      </c>
      <c r="F88">
        <v>36</v>
      </c>
      <c r="G88" t="s">
        <v>21</v>
      </c>
    </row>
    <row r="89" spans="1:7" x14ac:dyDescent="0.45">
      <c r="A89" t="s">
        <v>124</v>
      </c>
      <c r="B89" t="s">
        <v>15</v>
      </c>
      <c r="C89" t="s">
        <v>16</v>
      </c>
      <c r="D89">
        <v>615.66999999999996</v>
      </c>
      <c r="E89">
        <v>4</v>
      </c>
      <c r="F89">
        <v>34</v>
      </c>
      <c r="G89" t="s">
        <v>33</v>
      </c>
    </row>
    <row r="90" spans="1:7" x14ac:dyDescent="0.45">
      <c r="A90" t="s">
        <v>125</v>
      </c>
      <c r="B90" t="s">
        <v>26</v>
      </c>
      <c r="C90" t="s">
        <v>27</v>
      </c>
      <c r="D90">
        <v>249.94</v>
      </c>
      <c r="E90">
        <v>2</v>
      </c>
      <c r="F90">
        <v>58</v>
      </c>
      <c r="G90" t="s">
        <v>49</v>
      </c>
    </row>
    <row r="91" spans="1:7" x14ac:dyDescent="0.45">
      <c r="A91" t="s">
        <v>126</v>
      </c>
      <c r="B91" t="s">
        <v>35</v>
      </c>
      <c r="C91" t="s">
        <v>24</v>
      </c>
      <c r="D91">
        <v>10.050000000000001</v>
      </c>
      <c r="E91">
        <v>10</v>
      </c>
      <c r="F91">
        <v>29</v>
      </c>
      <c r="G91" t="s">
        <v>33</v>
      </c>
    </row>
    <row r="92" spans="1:7" x14ac:dyDescent="0.45">
      <c r="A92" t="s">
        <v>127</v>
      </c>
      <c r="B92" t="s">
        <v>31</v>
      </c>
      <c r="C92" t="s">
        <v>24</v>
      </c>
      <c r="D92">
        <v>29.78</v>
      </c>
      <c r="E92">
        <v>5</v>
      </c>
      <c r="F92">
        <v>58</v>
      </c>
      <c r="G92" t="s">
        <v>21</v>
      </c>
    </row>
    <row r="93" spans="1:7" x14ac:dyDescent="0.45">
      <c r="A93" t="s">
        <v>128</v>
      </c>
      <c r="B93" t="s">
        <v>53</v>
      </c>
      <c r="C93" t="s">
        <v>24</v>
      </c>
      <c r="D93">
        <v>5.65</v>
      </c>
      <c r="E93">
        <v>4</v>
      </c>
      <c r="F93">
        <v>28</v>
      </c>
      <c r="G93" t="s">
        <v>21</v>
      </c>
    </row>
    <row r="94" spans="1:7" x14ac:dyDescent="0.45">
      <c r="A94" t="s">
        <v>129</v>
      </c>
      <c r="B94" t="s">
        <v>19</v>
      </c>
      <c r="C94" t="s">
        <v>16</v>
      </c>
      <c r="D94">
        <v>654.15</v>
      </c>
      <c r="E94">
        <v>10</v>
      </c>
      <c r="F94">
        <v>24</v>
      </c>
      <c r="G94" t="s">
        <v>17</v>
      </c>
    </row>
    <row r="95" spans="1:7" x14ac:dyDescent="0.45">
      <c r="A95" t="s">
        <v>130</v>
      </c>
      <c r="B95" t="s">
        <v>31</v>
      </c>
      <c r="C95" t="s">
        <v>24</v>
      </c>
      <c r="D95">
        <v>26.29</v>
      </c>
      <c r="E95">
        <v>6</v>
      </c>
      <c r="F95">
        <v>22</v>
      </c>
      <c r="G95" t="s">
        <v>33</v>
      </c>
    </row>
    <row r="96" spans="1:7" x14ac:dyDescent="0.45">
      <c r="A96" t="s">
        <v>131</v>
      </c>
      <c r="B96" t="s">
        <v>64</v>
      </c>
      <c r="C96" t="s">
        <v>27</v>
      </c>
      <c r="D96">
        <v>481.37</v>
      </c>
      <c r="E96">
        <v>8</v>
      </c>
      <c r="F96">
        <v>31</v>
      </c>
      <c r="G96" t="s">
        <v>29</v>
      </c>
    </row>
    <row r="97" spans="1:7" x14ac:dyDescent="0.45">
      <c r="A97" t="s">
        <v>132</v>
      </c>
      <c r="B97" t="s">
        <v>40</v>
      </c>
      <c r="C97" t="s">
        <v>16</v>
      </c>
      <c r="D97">
        <v>511.93</v>
      </c>
      <c r="E97">
        <v>9</v>
      </c>
      <c r="F97">
        <v>52</v>
      </c>
      <c r="G97" t="s">
        <v>29</v>
      </c>
    </row>
    <row r="98" spans="1:7" x14ac:dyDescent="0.45">
      <c r="A98" t="s">
        <v>133</v>
      </c>
      <c r="B98" t="s">
        <v>40</v>
      </c>
      <c r="C98" t="s">
        <v>16</v>
      </c>
      <c r="D98">
        <v>291.73</v>
      </c>
      <c r="E98">
        <v>4</v>
      </c>
      <c r="F98">
        <v>27</v>
      </c>
      <c r="G98" t="s">
        <v>17</v>
      </c>
    </row>
    <row r="99" spans="1:7" x14ac:dyDescent="0.45">
      <c r="A99" t="s">
        <v>134</v>
      </c>
      <c r="B99" t="s">
        <v>23</v>
      </c>
      <c r="C99" t="s">
        <v>24</v>
      </c>
      <c r="D99">
        <v>31.3</v>
      </c>
      <c r="E99">
        <v>7</v>
      </c>
      <c r="F99">
        <v>43</v>
      </c>
      <c r="G99" t="s">
        <v>17</v>
      </c>
    </row>
    <row r="100" spans="1:7" x14ac:dyDescent="0.45">
      <c r="A100" t="s">
        <v>135</v>
      </c>
      <c r="B100" t="s">
        <v>64</v>
      </c>
      <c r="C100" t="s">
        <v>27</v>
      </c>
      <c r="D100">
        <v>125.76</v>
      </c>
      <c r="E100">
        <v>5</v>
      </c>
      <c r="F100">
        <v>43</v>
      </c>
      <c r="G100" t="s">
        <v>17</v>
      </c>
    </row>
    <row r="101" spans="1:7" x14ac:dyDescent="0.45">
      <c r="A101" t="s">
        <v>136</v>
      </c>
      <c r="B101" t="s">
        <v>23</v>
      </c>
      <c r="C101" t="s">
        <v>24</v>
      </c>
      <c r="D101">
        <v>2.4900000000000002</v>
      </c>
      <c r="E101">
        <v>4</v>
      </c>
      <c r="F101">
        <v>27</v>
      </c>
      <c r="G101" t="s">
        <v>17</v>
      </c>
    </row>
    <row r="102" spans="1:7" x14ac:dyDescent="0.45">
      <c r="A102" t="s">
        <v>137</v>
      </c>
      <c r="B102" t="s">
        <v>58</v>
      </c>
      <c r="C102" t="s">
        <v>16</v>
      </c>
      <c r="D102">
        <v>567.96</v>
      </c>
      <c r="E102">
        <v>8</v>
      </c>
      <c r="F102">
        <v>50</v>
      </c>
      <c r="G102" t="s">
        <v>33</v>
      </c>
    </row>
    <row r="103" spans="1:7" x14ac:dyDescent="0.45">
      <c r="A103" t="s">
        <v>138</v>
      </c>
      <c r="B103" t="s">
        <v>64</v>
      </c>
      <c r="C103" t="s">
        <v>27</v>
      </c>
      <c r="D103">
        <v>353.6</v>
      </c>
      <c r="E103">
        <v>5</v>
      </c>
      <c r="F103">
        <v>64</v>
      </c>
      <c r="G103" t="s">
        <v>29</v>
      </c>
    </row>
    <row r="104" spans="1:7" x14ac:dyDescent="0.45">
      <c r="A104" t="s">
        <v>139</v>
      </c>
      <c r="B104" t="s">
        <v>40</v>
      </c>
      <c r="C104" t="s">
        <v>16</v>
      </c>
      <c r="D104">
        <v>369.13</v>
      </c>
      <c r="E104">
        <v>9</v>
      </c>
      <c r="F104">
        <v>43</v>
      </c>
      <c r="G104" t="s">
        <v>17</v>
      </c>
    </row>
    <row r="105" spans="1:7" x14ac:dyDescent="0.45">
      <c r="A105" t="s">
        <v>140</v>
      </c>
      <c r="B105" t="s">
        <v>35</v>
      </c>
      <c r="C105" t="s">
        <v>24</v>
      </c>
      <c r="D105">
        <v>13.07</v>
      </c>
      <c r="E105">
        <v>4</v>
      </c>
      <c r="F105">
        <v>42</v>
      </c>
      <c r="G105" t="s">
        <v>17</v>
      </c>
    </row>
    <row r="106" spans="1:7" x14ac:dyDescent="0.45">
      <c r="A106" t="s">
        <v>141</v>
      </c>
      <c r="B106" t="s">
        <v>58</v>
      </c>
      <c r="C106" t="s">
        <v>16</v>
      </c>
      <c r="D106">
        <v>193.66</v>
      </c>
      <c r="E106">
        <v>8</v>
      </c>
      <c r="F106">
        <v>39</v>
      </c>
      <c r="G106" t="s">
        <v>21</v>
      </c>
    </row>
    <row r="107" spans="1:7" x14ac:dyDescent="0.45">
      <c r="A107" t="s">
        <v>142</v>
      </c>
      <c r="B107" t="s">
        <v>19</v>
      </c>
      <c r="C107" t="s">
        <v>16</v>
      </c>
      <c r="D107">
        <v>262.25</v>
      </c>
      <c r="E107">
        <v>2</v>
      </c>
      <c r="F107">
        <v>34</v>
      </c>
      <c r="G107" t="s">
        <v>17</v>
      </c>
    </row>
    <row r="108" spans="1:7" x14ac:dyDescent="0.45">
      <c r="A108" t="s">
        <v>143</v>
      </c>
      <c r="B108" t="s">
        <v>31</v>
      </c>
      <c r="C108" t="s">
        <v>24</v>
      </c>
      <c r="D108">
        <v>35.979999999999997</v>
      </c>
      <c r="E108">
        <v>3</v>
      </c>
      <c r="F108">
        <v>39</v>
      </c>
      <c r="G108" t="s">
        <v>17</v>
      </c>
    </row>
    <row r="109" spans="1:7" x14ac:dyDescent="0.45">
      <c r="A109" t="s">
        <v>144</v>
      </c>
      <c r="B109" t="s">
        <v>53</v>
      </c>
      <c r="C109" t="s">
        <v>24</v>
      </c>
      <c r="D109">
        <v>32.619999999999997</v>
      </c>
      <c r="E109">
        <v>8</v>
      </c>
      <c r="F109">
        <v>28</v>
      </c>
      <c r="G109" t="s">
        <v>33</v>
      </c>
    </row>
    <row r="110" spans="1:7" x14ac:dyDescent="0.45">
      <c r="A110" t="s">
        <v>145</v>
      </c>
      <c r="B110" t="s">
        <v>71</v>
      </c>
      <c r="C110" t="s">
        <v>24</v>
      </c>
      <c r="D110">
        <v>23.14</v>
      </c>
      <c r="E110">
        <v>3</v>
      </c>
      <c r="F110">
        <v>25</v>
      </c>
      <c r="G110" t="s">
        <v>17</v>
      </c>
    </row>
    <row r="111" spans="1:7" x14ac:dyDescent="0.45">
      <c r="A111" t="s">
        <v>146</v>
      </c>
      <c r="B111" t="s">
        <v>75</v>
      </c>
      <c r="C111" t="s">
        <v>27</v>
      </c>
      <c r="D111">
        <v>215.34</v>
      </c>
      <c r="E111">
        <v>2</v>
      </c>
      <c r="F111">
        <v>58</v>
      </c>
      <c r="G111" t="s">
        <v>21</v>
      </c>
    </row>
    <row r="112" spans="1:7" x14ac:dyDescent="0.45">
      <c r="A112" t="s">
        <v>147</v>
      </c>
      <c r="B112" t="s">
        <v>55</v>
      </c>
      <c r="C112" t="s">
        <v>27</v>
      </c>
      <c r="D112">
        <v>475.83</v>
      </c>
      <c r="E112">
        <v>2</v>
      </c>
      <c r="F112">
        <v>37</v>
      </c>
      <c r="G112" t="s">
        <v>17</v>
      </c>
    </row>
    <row r="113" spans="1:7" x14ac:dyDescent="0.45">
      <c r="A113" t="s">
        <v>148</v>
      </c>
      <c r="B113" t="s">
        <v>19</v>
      </c>
      <c r="C113" t="s">
        <v>16</v>
      </c>
      <c r="D113">
        <v>643.05999999999995</v>
      </c>
      <c r="E113">
        <v>4</v>
      </c>
      <c r="F113">
        <v>55</v>
      </c>
      <c r="G113" t="s">
        <v>17</v>
      </c>
    </row>
    <row r="114" spans="1:7" x14ac:dyDescent="0.45">
      <c r="A114" t="s">
        <v>149</v>
      </c>
      <c r="B114" t="s">
        <v>23</v>
      </c>
      <c r="C114" t="s">
        <v>24</v>
      </c>
      <c r="D114">
        <v>49.52</v>
      </c>
      <c r="E114">
        <v>5</v>
      </c>
      <c r="F114">
        <v>58</v>
      </c>
      <c r="G114" t="s">
        <v>21</v>
      </c>
    </row>
    <row r="115" spans="1:7" x14ac:dyDescent="0.45">
      <c r="A115" t="s">
        <v>150</v>
      </c>
      <c r="B115" t="s">
        <v>15</v>
      </c>
      <c r="C115" t="s">
        <v>16</v>
      </c>
      <c r="D115">
        <v>760.69</v>
      </c>
      <c r="E115">
        <v>4</v>
      </c>
      <c r="F115">
        <v>62</v>
      </c>
      <c r="G115" t="s">
        <v>17</v>
      </c>
    </row>
    <row r="116" spans="1:7" x14ac:dyDescent="0.45">
      <c r="A116" t="s">
        <v>151</v>
      </c>
      <c r="B116" t="s">
        <v>26</v>
      </c>
      <c r="C116" t="s">
        <v>27</v>
      </c>
      <c r="D116">
        <v>107.56</v>
      </c>
      <c r="E116">
        <v>2</v>
      </c>
      <c r="F116">
        <v>32</v>
      </c>
      <c r="G116" t="s">
        <v>17</v>
      </c>
    </row>
    <row r="117" spans="1:7" x14ac:dyDescent="0.45">
      <c r="A117" t="s">
        <v>152</v>
      </c>
      <c r="B117" t="s">
        <v>44</v>
      </c>
      <c r="C117" t="s">
        <v>16</v>
      </c>
      <c r="D117">
        <v>268.44</v>
      </c>
      <c r="E117">
        <v>4</v>
      </c>
      <c r="F117">
        <v>40</v>
      </c>
      <c r="G117" t="s">
        <v>21</v>
      </c>
    </row>
    <row r="118" spans="1:7" x14ac:dyDescent="0.45">
      <c r="A118" t="s">
        <v>153</v>
      </c>
      <c r="B118" t="s">
        <v>31</v>
      </c>
      <c r="C118" t="s">
        <v>24</v>
      </c>
      <c r="D118">
        <v>34.99</v>
      </c>
      <c r="E118">
        <v>5</v>
      </c>
      <c r="F118">
        <v>62</v>
      </c>
      <c r="G118" t="s">
        <v>29</v>
      </c>
    </row>
    <row r="119" spans="1:7" x14ac:dyDescent="0.45">
      <c r="A119" t="s">
        <v>154</v>
      </c>
      <c r="B119" t="s">
        <v>64</v>
      </c>
      <c r="C119" t="s">
        <v>27</v>
      </c>
      <c r="D119">
        <v>79.52</v>
      </c>
      <c r="E119">
        <v>4</v>
      </c>
      <c r="F119">
        <v>63</v>
      </c>
      <c r="G119" t="s">
        <v>17</v>
      </c>
    </row>
    <row r="120" spans="1:7" x14ac:dyDescent="0.45">
      <c r="A120" t="s">
        <v>155</v>
      </c>
      <c r="B120" t="s">
        <v>75</v>
      </c>
      <c r="C120" t="s">
        <v>27</v>
      </c>
      <c r="D120">
        <v>53.33</v>
      </c>
      <c r="E120">
        <v>5</v>
      </c>
      <c r="F120">
        <v>60</v>
      </c>
      <c r="G120" t="s">
        <v>21</v>
      </c>
    </row>
    <row r="121" spans="1:7" x14ac:dyDescent="0.45">
      <c r="A121" t="s">
        <v>156</v>
      </c>
      <c r="B121" t="s">
        <v>71</v>
      </c>
      <c r="C121" t="s">
        <v>24</v>
      </c>
      <c r="D121">
        <v>7.97</v>
      </c>
      <c r="E121">
        <v>5</v>
      </c>
      <c r="F121">
        <v>47</v>
      </c>
      <c r="G121" t="s">
        <v>49</v>
      </c>
    </row>
    <row r="122" spans="1:7" x14ac:dyDescent="0.45">
      <c r="A122" t="s">
        <v>157</v>
      </c>
      <c r="B122" t="s">
        <v>71</v>
      </c>
      <c r="C122" t="s">
        <v>24</v>
      </c>
      <c r="D122">
        <v>5.86</v>
      </c>
      <c r="E122">
        <v>1</v>
      </c>
      <c r="F122">
        <v>49</v>
      </c>
      <c r="G122" t="s">
        <v>21</v>
      </c>
    </row>
    <row r="123" spans="1:7" x14ac:dyDescent="0.45">
      <c r="A123" t="s">
        <v>158</v>
      </c>
      <c r="B123" t="s">
        <v>75</v>
      </c>
      <c r="C123" t="s">
        <v>27</v>
      </c>
      <c r="D123">
        <v>133.74</v>
      </c>
      <c r="E123">
        <v>10</v>
      </c>
      <c r="F123">
        <v>59</v>
      </c>
      <c r="G123" t="s">
        <v>49</v>
      </c>
    </row>
    <row r="124" spans="1:7" x14ac:dyDescent="0.45">
      <c r="A124" t="s">
        <v>159</v>
      </c>
      <c r="B124" t="s">
        <v>40</v>
      </c>
      <c r="C124" t="s">
        <v>16</v>
      </c>
      <c r="D124">
        <v>482.19</v>
      </c>
      <c r="E124">
        <v>3</v>
      </c>
      <c r="F124">
        <v>52</v>
      </c>
      <c r="G124" t="s">
        <v>29</v>
      </c>
    </row>
    <row r="125" spans="1:7" x14ac:dyDescent="0.45">
      <c r="A125" t="s">
        <v>160</v>
      </c>
      <c r="B125" t="s">
        <v>53</v>
      </c>
      <c r="C125" t="s">
        <v>24</v>
      </c>
      <c r="D125">
        <v>49.85</v>
      </c>
      <c r="E125">
        <v>7</v>
      </c>
      <c r="F125">
        <v>62</v>
      </c>
      <c r="G125" t="s">
        <v>33</v>
      </c>
    </row>
    <row r="126" spans="1:7" x14ac:dyDescent="0.45">
      <c r="A126" t="s">
        <v>161</v>
      </c>
      <c r="B126" t="s">
        <v>35</v>
      </c>
      <c r="C126" t="s">
        <v>24</v>
      </c>
      <c r="D126">
        <v>21.6</v>
      </c>
      <c r="E126">
        <v>6</v>
      </c>
      <c r="F126">
        <v>64</v>
      </c>
      <c r="G126" t="s">
        <v>17</v>
      </c>
    </row>
    <row r="127" spans="1:7" x14ac:dyDescent="0.45">
      <c r="A127" t="s">
        <v>162</v>
      </c>
      <c r="B127" t="s">
        <v>71</v>
      </c>
      <c r="C127" t="s">
        <v>24</v>
      </c>
      <c r="D127">
        <v>15.83</v>
      </c>
      <c r="E127">
        <v>7</v>
      </c>
      <c r="F127">
        <v>57</v>
      </c>
      <c r="G127" t="s">
        <v>17</v>
      </c>
    </row>
    <row r="128" spans="1:7" x14ac:dyDescent="0.45">
      <c r="A128" t="s">
        <v>163</v>
      </c>
      <c r="B128" t="s">
        <v>35</v>
      </c>
      <c r="C128" t="s">
        <v>24</v>
      </c>
      <c r="D128">
        <v>7.56</v>
      </c>
      <c r="E128">
        <v>7</v>
      </c>
      <c r="G128" t="s">
        <v>33</v>
      </c>
    </row>
    <row r="129" spans="1:7" x14ac:dyDescent="0.45">
      <c r="A129" t="s">
        <v>164</v>
      </c>
      <c r="B129" t="s">
        <v>44</v>
      </c>
      <c r="C129" t="s">
        <v>16</v>
      </c>
      <c r="D129">
        <v>359.94</v>
      </c>
      <c r="E129">
        <v>4</v>
      </c>
      <c r="F129">
        <v>55</v>
      </c>
      <c r="G129" t="s">
        <v>17</v>
      </c>
    </row>
    <row r="130" spans="1:7" x14ac:dyDescent="0.45">
      <c r="A130" t="s">
        <v>165</v>
      </c>
      <c r="B130" t="s">
        <v>44</v>
      </c>
      <c r="C130" t="s">
        <v>16</v>
      </c>
      <c r="D130">
        <v>619.99</v>
      </c>
      <c r="E130">
        <v>4</v>
      </c>
      <c r="F130">
        <v>39</v>
      </c>
      <c r="G130" t="s">
        <v>29</v>
      </c>
    </row>
    <row r="131" spans="1:7" x14ac:dyDescent="0.45">
      <c r="A131" t="s">
        <v>166</v>
      </c>
      <c r="B131" t="s">
        <v>71</v>
      </c>
      <c r="C131" t="s">
        <v>24</v>
      </c>
      <c r="D131">
        <v>7.83</v>
      </c>
      <c r="E131">
        <v>10</v>
      </c>
      <c r="F131">
        <v>37</v>
      </c>
      <c r="G131" t="s">
        <v>21</v>
      </c>
    </row>
    <row r="132" spans="1:7" x14ac:dyDescent="0.45">
      <c r="A132" t="s">
        <v>167</v>
      </c>
      <c r="B132" t="s">
        <v>55</v>
      </c>
      <c r="C132" t="s">
        <v>27</v>
      </c>
      <c r="D132">
        <v>218.8</v>
      </c>
      <c r="E132">
        <v>4</v>
      </c>
      <c r="F132">
        <v>29</v>
      </c>
      <c r="G132" t="s">
        <v>29</v>
      </c>
    </row>
    <row r="133" spans="1:7" x14ac:dyDescent="0.45">
      <c r="A133" t="s">
        <v>168</v>
      </c>
      <c r="B133" t="s">
        <v>64</v>
      </c>
      <c r="C133" t="s">
        <v>27</v>
      </c>
      <c r="D133">
        <v>468.01</v>
      </c>
      <c r="E133">
        <v>5</v>
      </c>
      <c r="F133">
        <v>54</v>
      </c>
      <c r="G133" t="s">
        <v>21</v>
      </c>
    </row>
    <row r="134" spans="1:7" x14ac:dyDescent="0.45">
      <c r="A134" t="s">
        <v>169</v>
      </c>
      <c r="B134" t="s">
        <v>71</v>
      </c>
      <c r="C134" t="s">
        <v>24</v>
      </c>
      <c r="D134">
        <v>13.7</v>
      </c>
      <c r="E134">
        <v>9</v>
      </c>
      <c r="F134">
        <v>31</v>
      </c>
      <c r="G134" t="s">
        <v>17</v>
      </c>
    </row>
    <row r="135" spans="1:7" x14ac:dyDescent="0.45">
      <c r="A135" t="s">
        <v>170</v>
      </c>
      <c r="B135" t="s">
        <v>58</v>
      </c>
      <c r="C135" t="s">
        <v>16</v>
      </c>
      <c r="D135">
        <v>698.02</v>
      </c>
      <c r="E135">
        <v>5</v>
      </c>
      <c r="F135">
        <v>48</v>
      </c>
      <c r="G135" t="s">
        <v>17</v>
      </c>
    </row>
    <row r="136" spans="1:7" x14ac:dyDescent="0.45">
      <c r="A136" t="s">
        <v>171</v>
      </c>
      <c r="B136" t="s">
        <v>31</v>
      </c>
      <c r="C136" t="s">
        <v>24</v>
      </c>
      <c r="D136">
        <v>15.58</v>
      </c>
      <c r="E136">
        <v>5</v>
      </c>
      <c r="F136">
        <v>59</v>
      </c>
      <c r="G136" t="s">
        <v>29</v>
      </c>
    </row>
    <row r="137" spans="1:7" x14ac:dyDescent="0.45">
      <c r="A137" t="s">
        <v>172</v>
      </c>
      <c r="B137" t="s">
        <v>64</v>
      </c>
      <c r="C137" t="s">
        <v>27</v>
      </c>
      <c r="D137">
        <v>280.83</v>
      </c>
      <c r="E137">
        <v>6</v>
      </c>
      <c r="F137">
        <v>43</v>
      </c>
      <c r="G137" t="s">
        <v>29</v>
      </c>
    </row>
    <row r="138" spans="1:7" x14ac:dyDescent="0.45">
      <c r="A138" t="s">
        <v>173</v>
      </c>
      <c r="B138" t="s">
        <v>35</v>
      </c>
      <c r="C138" t="s">
        <v>24</v>
      </c>
      <c r="D138">
        <v>43.74</v>
      </c>
      <c r="E138">
        <v>4</v>
      </c>
      <c r="F138">
        <v>58</v>
      </c>
      <c r="G138" t="s">
        <v>17</v>
      </c>
    </row>
    <row r="139" spans="1:7" x14ac:dyDescent="0.45">
      <c r="A139" t="s">
        <v>174</v>
      </c>
      <c r="B139" t="s">
        <v>31</v>
      </c>
      <c r="C139" t="s">
        <v>24</v>
      </c>
      <c r="D139">
        <v>17.27</v>
      </c>
      <c r="E139">
        <v>8</v>
      </c>
      <c r="F139">
        <v>46</v>
      </c>
      <c r="G139" t="s">
        <v>17</v>
      </c>
    </row>
    <row r="140" spans="1:7" x14ac:dyDescent="0.45">
      <c r="A140" t="s">
        <v>175</v>
      </c>
      <c r="B140" t="s">
        <v>58</v>
      </c>
      <c r="C140" t="s">
        <v>16</v>
      </c>
      <c r="D140">
        <v>421.5</v>
      </c>
      <c r="E140">
        <v>1</v>
      </c>
      <c r="F140">
        <v>30</v>
      </c>
      <c r="G140" t="s">
        <v>29</v>
      </c>
    </row>
    <row r="141" spans="1:7" x14ac:dyDescent="0.45">
      <c r="A141" t="s">
        <v>176</v>
      </c>
      <c r="B141" t="s">
        <v>64</v>
      </c>
      <c r="C141" t="s">
        <v>27</v>
      </c>
      <c r="D141">
        <v>72.36</v>
      </c>
      <c r="E141">
        <v>8</v>
      </c>
      <c r="F141">
        <v>22</v>
      </c>
      <c r="G141" t="s">
        <v>21</v>
      </c>
    </row>
    <row r="142" spans="1:7" x14ac:dyDescent="0.45">
      <c r="A142" t="s">
        <v>177</v>
      </c>
      <c r="B142" t="s">
        <v>58</v>
      </c>
      <c r="C142" t="s">
        <v>16</v>
      </c>
      <c r="D142">
        <v>106.12</v>
      </c>
      <c r="E142">
        <v>5</v>
      </c>
      <c r="F142">
        <v>43</v>
      </c>
      <c r="G142" t="s">
        <v>21</v>
      </c>
    </row>
    <row r="143" spans="1:7" x14ac:dyDescent="0.45">
      <c r="A143" t="s">
        <v>178</v>
      </c>
      <c r="B143" t="s">
        <v>42</v>
      </c>
      <c r="C143" t="s">
        <v>27</v>
      </c>
      <c r="D143">
        <v>429.86</v>
      </c>
      <c r="E143">
        <v>9</v>
      </c>
      <c r="F143">
        <v>46</v>
      </c>
      <c r="G143" t="s">
        <v>49</v>
      </c>
    </row>
    <row r="144" spans="1:7" x14ac:dyDescent="0.45">
      <c r="A144" t="s">
        <v>179</v>
      </c>
      <c r="B144" t="s">
        <v>23</v>
      </c>
      <c r="C144" t="s">
        <v>24</v>
      </c>
      <c r="D144">
        <v>3.72</v>
      </c>
      <c r="E144">
        <v>2</v>
      </c>
      <c r="F144">
        <v>37</v>
      </c>
      <c r="G144" t="s">
        <v>21</v>
      </c>
    </row>
    <row r="145" spans="1:7" x14ac:dyDescent="0.45">
      <c r="A145" t="s">
        <v>180</v>
      </c>
      <c r="B145" t="s">
        <v>75</v>
      </c>
      <c r="C145" t="s">
        <v>27</v>
      </c>
      <c r="D145">
        <v>231.14</v>
      </c>
      <c r="E145">
        <v>2</v>
      </c>
      <c r="F145">
        <v>62</v>
      </c>
      <c r="G145" t="s">
        <v>21</v>
      </c>
    </row>
    <row r="146" spans="1:7" x14ac:dyDescent="0.45">
      <c r="A146" t="s">
        <v>181</v>
      </c>
      <c r="B146" t="s">
        <v>42</v>
      </c>
      <c r="C146" t="s">
        <v>27</v>
      </c>
      <c r="D146">
        <v>454.13</v>
      </c>
      <c r="E146">
        <v>1</v>
      </c>
      <c r="F146">
        <v>42</v>
      </c>
      <c r="G146" t="s">
        <v>33</v>
      </c>
    </row>
    <row r="147" spans="1:7" x14ac:dyDescent="0.45">
      <c r="A147" t="s">
        <v>182</v>
      </c>
      <c r="B147" t="s">
        <v>71</v>
      </c>
      <c r="C147" t="s">
        <v>24</v>
      </c>
      <c r="D147">
        <v>8.99</v>
      </c>
      <c r="E147">
        <v>9</v>
      </c>
      <c r="F147">
        <v>48</v>
      </c>
      <c r="G147" t="s">
        <v>29</v>
      </c>
    </row>
    <row r="148" spans="1:7" x14ac:dyDescent="0.45">
      <c r="A148" t="s">
        <v>183</v>
      </c>
      <c r="B148" t="s">
        <v>26</v>
      </c>
      <c r="C148" t="s">
        <v>27</v>
      </c>
      <c r="D148">
        <v>62.51</v>
      </c>
      <c r="E148">
        <v>7</v>
      </c>
      <c r="F148">
        <v>61</v>
      </c>
      <c r="G148" t="s">
        <v>21</v>
      </c>
    </row>
    <row r="149" spans="1:7" x14ac:dyDescent="0.45">
      <c r="A149" t="s">
        <v>184</v>
      </c>
      <c r="B149" t="s">
        <v>58</v>
      </c>
      <c r="C149" t="s">
        <v>16</v>
      </c>
      <c r="D149">
        <v>224.14</v>
      </c>
      <c r="E149">
        <v>5</v>
      </c>
      <c r="G149" t="s">
        <v>17</v>
      </c>
    </row>
    <row r="150" spans="1:7" x14ac:dyDescent="0.45">
      <c r="A150" t="s">
        <v>185</v>
      </c>
      <c r="B150" t="s">
        <v>35</v>
      </c>
      <c r="C150" t="s">
        <v>24</v>
      </c>
      <c r="D150">
        <v>34.53</v>
      </c>
      <c r="E150">
        <v>3</v>
      </c>
      <c r="F150">
        <v>26</v>
      </c>
      <c r="G150" t="s">
        <v>29</v>
      </c>
    </row>
    <row r="151" spans="1:7" x14ac:dyDescent="0.45">
      <c r="A151" t="s">
        <v>186</v>
      </c>
      <c r="B151" t="s">
        <v>40</v>
      </c>
      <c r="C151" t="s">
        <v>16</v>
      </c>
      <c r="D151">
        <v>529.20000000000005</v>
      </c>
      <c r="E151">
        <v>7</v>
      </c>
      <c r="F151">
        <v>38</v>
      </c>
      <c r="G151" t="s">
        <v>29</v>
      </c>
    </row>
    <row r="152" spans="1:7" x14ac:dyDescent="0.45">
      <c r="A152" t="s">
        <v>187</v>
      </c>
      <c r="B152" t="s">
        <v>71</v>
      </c>
      <c r="C152" t="s">
        <v>24</v>
      </c>
      <c r="D152">
        <v>7.12</v>
      </c>
      <c r="E152">
        <v>7</v>
      </c>
      <c r="F152">
        <v>58</v>
      </c>
      <c r="G152" t="s">
        <v>17</v>
      </c>
    </row>
    <row r="153" spans="1:7" x14ac:dyDescent="0.45">
      <c r="A153" t="s">
        <v>188</v>
      </c>
      <c r="B153" t="s">
        <v>40</v>
      </c>
      <c r="C153" t="s">
        <v>16</v>
      </c>
      <c r="D153">
        <v>66.45</v>
      </c>
      <c r="E153">
        <v>7</v>
      </c>
      <c r="F153">
        <v>39</v>
      </c>
      <c r="G153" t="s">
        <v>17</v>
      </c>
    </row>
    <row r="154" spans="1:7" x14ac:dyDescent="0.45">
      <c r="A154" t="s">
        <v>189</v>
      </c>
      <c r="B154" t="s">
        <v>15</v>
      </c>
      <c r="C154" t="s">
        <v>16</v>
      </c>
      <c r="D154">
        <v>732.96</v>
      </c>
      <c r="E154">
        <v>8</v>
      </c>
      <c r="F154">
        <v>40</v>
      </c>
      <c r="G154" t="s">
        <v>33</v>
      </c>
    </row>
    <row r="155" spans="1:7" x14ac:dyDescent="0.45">
      <c r="A155" t="s">
        <v>190</v>
      </c>
      <c r="B155" t="s">
        <v>53</v>
      </c>
      <c r="C155" t="s">
        <v>24</v>
      </c>
      <c r="D155">
        <v>32.56</v>
      </c>
      <c r="E155">
        <v>10</v>
      </c>
      <c r="F155">
        <v>38</v>
      </c>
      <c r="G155" t="s">
        <v>21</v>
      </c>
    </row>
    <row r="156" spans="1:7" x14ac:dyDescent="0.45">
      <c r="A156" t="s">
        <v>191</v>
      </c>
      <c r="B156" t="s">
        <v>58</v>
      </c>
      <c r="C156" t="s">
        <v>16</v>
      </c>
      <c r="D156">
        <v>521.19000000000005</v>
      </c>
      <c r="E156">
        <v>1</v>
      </c>
      <c r="G156" t="s">
        <v>33</v>
      </c>
    </row>
    <row r="157" spans="1:7" x14ac:dyDescent="0.45">
      <c r="A157" t="s">
        <v>192</v>
      </c>
      <c r="B157" t="s">
        <v>53</v>
      </c>
      <c r="C157" t="s">
        <v>24</v>
      </c>
      <c r="D157">
        <v>6.33</v>
      </c>
      <c r="E157">
        <v>5</v>
      </c>
      <c r="F157">
        <v>42</v>
      </c>
      <c r="G157" t="s">
        <v>21</v>
      </c>
    </row>
    <row r="158" spans="1:7" x14ac:dyDescent="0.45">
      <c r="A158" t="s">
        <v>193</v>
      </c>
      <c r="B158" t="s">
        <v>55</v>
      </c>
      <c r="C158" t="s">
        <v>27</v>
      </c>
      <c r="D158">
        <v>441.32</v>
      </c>
      <c r="E158">
        <v>6</v>
      </c>
      <c r="F158">
        <v>55</v>
      </c>
      <c r="G158" t="s">
        <v>29</v>
      </c>
    </row>
    <row r="159" spans="1:7" x14ac:dyDescent="0.45">
      <c r="A159" t="s">
        <v>194</v>
      </c>
      <c r="B159" t="s">
        <v>42</v>
      </c>
      <c r="C159" t="s">
        <v>27</v>
      </c>
      <c r="D159">
        <v>459.17</v>
      </c>
      <c r="E159">
        <v>8</v>
      </c>
      <c r="F159">
        <v>40</v>
      </c>
      <c r="G159" t="s">
        <v>21</v>
      </c>
    </row>
    <row r="160" spans="1:7" x14ac:dyDescent="0.45">
      <c r="A160" t="s">
        <v>195</v>
      </c>
      <c r="B160" t="s">
        <v>64</v>
      </c>
      <c r="C160" t="s">
        <v>27</v>
      </c>
      <c r="D160">
        <v>482.37</v>
      </c>
      <c r="E160">
        <v>3</v>
      </c>
      <c r="F160">
        <v>36</v>
      </c>
      <c r="G160" t="s">
        <v>33</v>
      </c>
    </row>
    <row r="161" spans="1:7" x14ac:dyDescent="0.45">
      <c r="A161" t="s">
        <v>196</v>
      </c>
      <c r="B161" t="s">
        <v>23</v>
      </c>
      <c r="C161" t="s">
        <v>24</v>
      </c>
      <c r="D161">
        <v>19.559999999999999</v>
      </c>
      <c r="E161">
        <v>7</v>
      </c>
      <c r="F161">
        <v>22</v>
      </c>
      <c r="G161" t="s">
        <v>17</v>
      </c>
    </row>
    <row r="162" spans="1:7" x14ac:dyDescent="0.45">
      <c r="A162" t="s">
        <v>197</v>
      </c>
      <c r="B162" t="s">
        <v>35</v>
      </c>
      <c r="C162" t="s">
        <v>24</v>
      </c>
      <c r="D162">
        <v>30.06</v>
      </c>
      <c r="E162">
        <v>6</v>
      </c>
      <c r="F162">
        <v>28</v>
      </c>
      <c r="G162" t="s">
        <v>21</v>
      </c>
    </row>
    <row r="163" spans="1:7" x14ac:dyDescent="0.45">
      <c r="A163" t="s">
        <v>198</v>
      </c>
      <c r="B163" t="s">
        <v>19</v>
      </c>
      <c r="C163" t="s">
        <v>16</v>
      </c>
      <c r="D163">
        <v>296</v>
      </c>
      <c r="E163">
        <v>10</v>
      </c>
      <c r="F163">
        <v>36</v>
      </c>
      <c r="G163" t="s">
        <v>21</v>
      </c>
    </row>
    <row r="164" spans="1:7" x14ac:dyDescent="0.45">
      <c r="A164" t="s">
        <v>199</v>
      </c>
      <c r="B164" t="s">
        <v>35</v>
      </c>
      <c r="C164" t="s">
        <v>24</v>
      </c>
      <c r="D164">
        <v>33.159999999999997</v>
      </c>
      <c r="E164">
        <v>2</v>
      </c>
      <c r="G164" t="s">
        <v>17</v>
      </c>
    </row>
    <row r="165" spans="1:7" x14ac:dyDescent="0.45">
      <c r="A165" t="s">
        <v>200</v>
      </c>
      <c r="B165" t="s">
        <v>31</v>
      </c>
      <c r="C165" t="s">
        <v>24</v>
      </c>
      <c r="D165">
        <v>6.67</v>
      </c>
      <c r="E165">
        <v>9</v>
      </c>
      <c r="F165">
        <v>30</v>
      </c>
      <c r="G165" t="s">
        <v>17</v>
      </c>
    </row>
    <row r="166" spans="1:7" x14ac:dyDescent="0.45">
      <c r="A166" t="s">
        <v>201</v>
      </c>
      <c r="B166" t="s">
        <v>19</v>
      </c>
      <c r="C166" t="s">
        <v>16</v>
      </c>
      <c r="D166">
        <v>364.35</v>
      </c>
      <c r="E166">
        <v>3</v>
      </c>
      <c r="F166">
        <v>48</v>
      </c>
      <c r="G166" t="s">
        <v>21</v>
      </c>
    </row>
    <row r="167" spans="1:7" x14ac:dyDescent="0.45">
      <c r="A167" t="s">
        <v>202</v>
      </c>
      <c r="B167" t="s">
        <v>44</v>
      </c>
      <c r="C167" t="s">
        <v>16</v>
      </c>
      <c r="D167">
        <v>754.29</v>
      </c>
      <c r="E167">
        <v>5</v>
      </c>
      <c r="F167">
        <v>24</v>
      </c>
      <c r="G167" t="s">
        <v>21</v>
      </c>
    </row>
    <row r="168" spans="1:7" x14ac:dyDescent="0.45">
      <c r="A168" t="s">
        <v>203</v>
      </c>
      <c r="B168" t="s">
        <v>53</v>
      </c>
      <c r="C168" t="s">
        <v>24</v>
      </c>
      <c r="D168">
        <v>43.06</v>
      </c>
      <c r="E168">
        <v>2</v>
      </c>
      <c r="F168">
        <v>65</v>
      </c>
      <c r="G168" t="s">
        <v>17</v>
      </c>
    </row>
    <row r="169" spans="1:7" x14ac:dyDescent="0.45">
      <c r="A169" t="s">
        <v>204</v>
      </c>
      <c r="B169" t="s">
        <v>40</v>
      </c>
      <c r="C169" t="s">
        <v>16</v>
      </c>
      <c r="D169">
        <v>95.41</v>
      </c>
      <c r="E169">
        <v>5</v>
      </c>
      <c r="F169">
        <v>34</v>
      </c>
      <c r="G169" t="s">
        <v>49</v>
      </c>
    </row>
    <row r="170" spans="1:7" x14ac:dyDescent="0.45">
      <c r="A170" t="s">
        <v>205</v>
      </c>
      <c r="B170" t="s">
        <v>31</v>
      </c>
      <c r="C170" t="s">
        <v>24</v>
      </c>
      <c r="D170">
        <v>33.81</v>
      </c>
      <c r="E170">
        <v>10</v>
      </c>
      <c r="F170">
        <v>23</v>
      </c>
      <c r="G170" t="s">
        <v>17</v>
      </c>
    </row>
    <row r="171" spans="1:7" x14ac:dyDescent="0.45">
      <c r="A171" t="s">
        <v>206</v>
      </c>
      <c r="B171" t="s">
        <v>55</v>
      </c>
      <c r="C171" t="s">
        <v>27</v>
      </c>
      <c r="D171">
        <v>122.47</v>
      </c>
      <c r="E171">
        <v>9</v>
      </c>
      <c r="F171">
        <v>35</v>
      </c>
      <c r="G171" t="s">
        <v>29</v>
      </c>
    </row>
    <row r="172" spans="1:7" x14ac:dyDescent="0.45">
      <c r="A172" t="s">
        <v>207</v>
      </c>
      <c r="B172" t="s">
        <v>42</v>
      </c>
      <c r="C172" t="s">
        <v>27</v>
      </c>
      <c r="D172">
        <v>392.83</v>
      </c>
      <c r="E172">
        <v>10</v>
      </c>
      <c r="F172">
        <v>22</v>
      </c>
      <c r="G172" t="s">
        <v>17</v>
      </c>
    </row>
    <row r="173" spans="1:7" x14ac:dyDescent="0.45">
      <c r="A173" t="s">
        <v>208</v>
      </c>
      <c r="B173" t="s">
        <v>55</v>
      </c>
      <c r="C173" t="s">
        <v>27</v>
      </c>
      <c r="D173">
        <v>144.06</v>
      </c>
      <c r="E173">
        <v>3</v>
      </c>
      <c r="G173" t="s">
        <v>21</v>
      </c>
    </row>
    <row r="174" spans="1:7" x14ac:dyDescent="0.45">
      <c r="A174" t="s">
        <v>209</v>
      </c>
      <c r="B174" t="s">
        <v>42</v>
      </c>
      <c r="C174" t="s">
        <v>27</v>
      </c>
      <c r="D174">
        <v>400.24</v>
      </c>
      <c r="E174">
        <v>4</v>
      </c>
      <c r="F174">
        <v>59</v>
      </c>
      <c r="G174" t="s">
        <v>17</v>
      </c>
    </row>
    <row r="175" spans="1:7" x14ac:dyDescent="0.45">
      <c r="A175" t="s">
        <v>210</v>
      </c>
      <c r="B175" t="s">
        <v>26</v>
      </c>
      <c r="C175" t="s">
        <v>27</v>
      </c>
      <c r="D175">
        <v>377.32</v>
      </c>
      <c r="E175">
        <v>9</v>
      </c>
      <c r="F175">
        <v>29</v>
      </c>
      <c r="G175" t="s">
        <v>21</v>
      </c>
    </row>
    <row r="176" spans="1:7" x14ac:dyDescent="0.45">
      <c r="A176" t="s">
        <v>211</v>
      </c>
      <c r="B176" t="s">
        <v>23</v>
      </c>
      <c r="C176" t="s">
        <v>24</v>
      </c>
      <c r="D176">
        <v>30.5</v>
      </c>
      <c r="E176">
        <v>8</v>
      </c>
      <c r="F176">
        <v>54</v>
      </c>
      <c r="G176" t="s">
        <v>17</v>
      </c>
    </row>
    <row r="177" spans="1:7" x14ac:dyDescent="0.45">
      <c r="A177" t="s">
        <v>212</v>
      </c>
      <c r="B177" t="s">
        <v>19</v>
      </c>
      <c r="C177" t="s">
        <v>16</v>
      </c>
      <c r="D177">
        <v>276.22000000000003</v>
      </c>
      <c r="E177">
        <v>1</v>
      </c>
      <c r="F177">
        <v>25</v>
      </c>
      <c r="G177" t="s">
        <v>49</v>
      </c>
    </row>
    <row r="178" spans="1:7" x14ac:dyDescent="0.45">
      <c r="A178" t="s">
        <v>213</v>
      </c>
      <c r="B178" t="s">
        <v>31</v>
      </c>
      <c r="C178" t="s">
        <v>24</v>
      </c>
      <c r="D178">
        <v>25.53</v>
      </c>
      <c r="E178">
        <v>8</v>
      </c>
      <c r="F178">
        <v>26</v>
      </c>
      <c r="G178" t="s">
        <v>33</v>
      </c>
    </row>
    <row r="179" spans="1:7" x14ac:dyDescent="0.45">
      <c r="A179" t="s">
        <v>214</v>
      </c>
      <c r="B179" t="s">
        <v>75</v>
      </c>
      <c r="C179" t="s">
        <v>27</v>
      </c>
      <c r="D179">
        <v>84.94</v>
      </c>
      <c r="E179">
        <v>10</v>
      </c>
      <c r="F179">
        <v>62</v>
      </c>
      <c r="G179" t="s">
        <v>29</v>
      </c>
    </row>
    <row r="180" spans="1:7" x14ac:dyDescent="0.45">
      <c r="A180" t="s">
        <v>215</v>
      </c>
      <c r="B180" t="s">
        <v>23</v>
      </c>
      <c r="C180" t="s">
        <v>24</v>
      </c>
      <c r="D180">
        <v>27.47</v>
      </c>
      <c r="E180">
        <v>8</v>
      </c>
      <c r="F180">
        <v>54</v>
      </c>
      <c r="G180" t="s">
        <v>21</v>
      </c>
    </row>
    <row r="181" spans="1:7" x14ac:dyDescent="0.45">
      <c r="A181" t="s">
        <v>216</v>
      </c>
      <c r="B181" t="s">
        <v>15</v>
      </c>
      <c r="C181" t="s">
        <v>16</v>
      </c>
      <c r="D181">
        <v>689.59</v>
      </c>
      <c r="E181">
        <v>9</v>
      </c>
      <c r="F181">
        <v>35</v>
      </c>
      <c r="G181" t="s">
        <v>29</v>
      </c>
    </row>
    <row r="182" spans="1:7" x14ac:dyDescent="0.45">
      <c r="A182" t="s">
        <v>217</v>
      </c>
      <c r="B182" t="s">
        <v>35</v>
      </c>
      <c r="C182" t="s">
        <v>24</v>
      </c>
      <c r="D182">
        <v>41.72</v>
      </c>
      <c r="E182">
        <v>7</v>
      </c>
      <c r="F182">
        <v>48</v>
      </c>
      <c r="G182" t="s">
        <v>21</v>
      </c>
    </row>
    <row r="183" spans="1:7" x14ac:dyDescent="0.45">
      <c r="A183" t="s">
        <v>218</v>
      </c>
      <c r="B183" t="s">
        <v>35</v>
      </c>
      <c r="C183" t="s">
        <v>24</v>
      </c>
      <c r="D183">
        <v>19.97</v>
      </c>
      <c r="E183">
        <v>3</v>
      </c>
      <c r="F183">
        <v>65</v>
      </c>
      <c r="G183" t="s">
        <v>49</v>
      </c>
    </row>
    <row r="184" spans="1:7" x14ac:dyDescent="0.45">
      <c r="A184" t="s">
        <v>219</v>
      </c>
      <c r="B184" t="s">
        <v>75</v>
      </c>
      <c r="C184" t="s">
        <v>27</v>
      </c>
      <c r="D184">
        <v>230.14</v>
      </c>
      <c r="E184">
        <v>6</v>
      </c>
      <c r="F184">
        <v>30</v>
      </c>
      <c r="G184" t="s">
        <v>29</v>
      </c>
    </row>
    <row r="185" spans="1:7" x14ac:dyDescent="0.45">
      <c r="A185" t="s">
        <v>220</v>
      </c>
      <c r="B185" t="s">
        <v>19</v>
      </c>
      <c r="C185" t="s">
        <v>16</v>
      </c>
      <c r="D185">
        <v>297.23</v>
      </c>
      <c r="E185">
        <v>2</v>
      </c>
      <c r="F185">
        <v>48</v>
      </c>
      <c r="G185" t="s">
        <v>17</v>
      </c>
    </row>
    <row r="186" spans="1:7" x14ac:dyDescent="0.45">
      <c r="A186" t="s">
        <v>221</v>
      </c>
      <c r="B186" t="s">
        <v>31</v>
      </c>
      <c r="C186" t="s">
        <v>24</v>
      </c>
      <c r="D186">
        <v>48.48</v>
      </c>
      <c r="E186">
        <v>10</v>
      </c>
      <c r="F186">
        <v>41</v>
      </c>
      <c r="G186" t="s">
        <v>17</v>
      </c>
    </row>
    <row r="187" spans="1:7" x14ac:dyDescent="0.45">
      <c r="A187" t="s">
        <v>222</v>
      </c>
      <c r="B187" t="s">
        <v>26</v>
      </c>
      <c r="C187" t="s">
        <v>27</v>
      </c>
      <c r="D187">
        <v>336.95</v>
      </c>
      <c r="E187">
        <v>4</v>
      </c>
      <c r="F187">
        <v>28</v>
      </c>
      <c r="G187" t="s">
        <v>17</v>
      </c>
    </row>
    <row r="188" spans="1:7" x14ac:dyDescent="0.45">
      <c r="A188" t="s">
        <v>223</v>
      </c>
      <c r="B188" t="s">
        <v>42</v>
      </c>
      <c r="C188" t="s">
        <v>27</v>
      </c>
      <c r="D188">
        <v>297.7</v>
      </c>
      <c r="E188">
        <v>7</v>
      </c>
      <c r="F188">
        <v>57</v>
      </c>
      <c r="G188" t="s">
        <v>49</v>
      </c>
    </row>
    <row r="189" spans="1:7" x14ac:dyDescent="0.45">
      <c r="A189" t="s">
        <v>224</v>
      </c>
      <c r="B189" t="s">
        <v>19</v>
      </c>
      <c r="C189" t="s">
        <v>16</v>
      </c>
      <c r="D189">
        <v>69.69</v>
      </c>
      <c r="E189">
        <v>5</v>
      </c>
      <c r="F189">
        <v>23</v>
      </c>
      <c r="G189" t="s">
        <v>17</v>
      </c>
    </row>
    <row r="190" spans="1:7" x14ac:dyDescent="0.45">
      <c r="A190" t="s">
        <v>225</v>
      </c>
      <c r="B190" t="s">
        <v>35</v>
      </c>
      <c r="C190" t="s">
        <v>24</v>
      </c>
      <c r="D190">
        <v>18.850000000000001</v>
      </c>
      <c r="E190">
        <v>3</v>
      </c>
      <c r="F190">
        <v>31</v>
      </c>
      <c r="G190" t="s">
        <v>29</v>
      </c>
    </row>
    <row r="191" spans="1:7" x14ac:dyDescent="0.45">
      <c r="A191" t="s">
        <v>226</v>
      </c>
      <c r="B191" t="s">
        <v>75</v>
      </c>
      <c r="C191" t="s">
        <v>27</v>
      </c>
      <c r="D191">
        <v>68.58</v>
      </c>
      <c r="E191">
        <v>9</v>
      </c>
      <c r="F191">
        <v>35</v>
      </c>
      <c r="G191" t="s">
        <v>17</v>
      </c>
    </row>
    <row r="192" spans="1:7" x14ac:dyDescent="0.45">
      <c r="A192" t="s">
        <v>227</v>
      </c>
      <c r="B192" t="s">
        <v>42</v>
      </c>
      <c r="C192" t="s">
        <v>27</v>
      </c>
      <c r="D192">
        <v>173.03</v>
      </c>
      <c r="E192">
        <v>6</v>
      </c>
      <c r="F192">
        <v>58</v>
      </c>
      <c r="G192" t="s">
        <v>29</v>
      </c>
    </row>
    <row r="193" spans="1:7" x14ac:dyDescent="0.45">
      <c r="A193" t="s">
        <v>228</v>
      </c>
      <c r="B193" t="s">
        <v>26</v>
      </c>
      <c r="C193" t="s">
        <v>27</v>
      </c>
      <c r="D193">
        <v>383.36</v>
      </c>
      <c r="E193">
        <v>1</v>
      </c>
      <c r="F193">
        <v>65</v>
      </c>
      <c r="G193" t="s">
        <v>17</v>
      </c>
    </row>
    <row r="194" spans="1:7" x14ac:dyDescent="0.45">
      <c r="A194" t="s">
        <v>229</v>
      </c>
      <c r="B194" t="s">
        <v>71</v>
      </c>
      <c r="C194" t="s">
        <v>24</v>
      </c>
      <c r="D194">
        <v>31.14</v>
      </c>
      <c r="E194">
        <v>7</v>
      </c>
      <c r="F194">
        <v>39</v>
      </c>
      <c r="G194" t="s">
        <v>17</v>
      </c>
    </row>
    <row r="195" spans="1:7" x14ac:dyDescent="0.45">
      <c r="A195" t="s">
        <v>230</v>
      </c>
      <c r="B195" t="s">
        <v>71</v>
      </c>
      <c r="C195" t="s">
        <v>24</v>
      </c>
      <c r="D195">
        <v>7.32</v>
      </c>
      <c r="E195">
        <v>10</v>
      </c>
      <c r="F195">
        <v>53</v>
      </c>
      <c r="G195" t="s">
        <v>29</v>
      </c>
    </row>
    <row r="196" spans="1:7" x14ac:dyDescent="0.45">
      <c r="A196" t="s">
        <v>231</v>
      </c>
      <c r="B196" t="s">
        <v>64</v>
      </c>
      <c r="C196" t="s">
        <v>27</v>
      </c>
      <c r="D196">
        <v>492.61</v>
      </c>
      <c r="E196">
        <v>1</v>
      </c>
      <c r="F196">
        <v>22</v>
      </c>
      <c r="G196" t="s">
        <v>17</v>
      </c>
    </row>
    <row r="197" spans="1:7" x14ac:dyDescent="0.45">
      <c r="A197" t="s">
        <v>232</v>
      </c>
      <c r="B197" t="s">
        <v>42</v>
      </c>
      <c r="C197" t="s">
        <v>27</v>
      </c>
      <c r="D197">
        <v>162.49</v>
      </c>
      <c r="E197">
        <v>2</v>
      </c>
      <c r="F197">
        <v>22</v>
      </c>
      <c r="G197" t="s">
        <v>29</v>
      </c>
    </row>
    <row r="198" spans="1:7" x14ac:dyDescent="0.45">
      <c r="A198" t="s">
        <v>233</v>
      </c>
      <c r="B198" t="s">
        <v>64</v>
      </c>
      <c r="C198" t="s">
        <v>27</v>
      </c>
      <c r="D198">
        <v>277.98</v>
      </c>
      <c r="E198">
        <v>4</v>
      </c>
      <c r="F198">
        <v>54</v>
      </c>
      <c r="G198" t="s">
        <v>29</v>
      </c>
    </row>
    <row r="199" spans="1:7" x14ac:dyDescent="0.45">
      <c r="A199" t="s">
        <v>234</v>
      </c>
      <c r="B199" t="s">
        <v>31</v>
      </c>
      <c r="C199" t="s">
        <v>24</v>
      </c>
      <c r="D199">
        <v>21.06</v>
      </c>
      <c r="E199">
        <v>1</v>
      </c>
      <c r="F199">
        <v>49</v>
      </c>
      <c r="G199" t="s">
        <v>17</v>
      </c>
    </row>
    <row r="200" spans="1:7" x14ac:dyDescent="0.45">
      <c r="A200" t="s">
        <v>235</v>
      </c>
      <c r="B200" t="s">
        <v>23</v>
      </c>
      <c r="C200" t="s">
        <v>24</v>
      </c>
      <c r="D200">
        <v>22.61</v>
      </c>
      <c r="E200">
        <v>7</v>
      </c>
      <c r="F200">
        <v>62</v>
      </c>
      <c r="G200" t="s">
        <v>29</v>
      </c>
    </row>
    <row r="201" spans="1:7" x14ac:dyDescent="0.45">
      <c r="A201" t="s">
        <v>236</v>
      </c>
      <c r="B201" t="s">
        <v>42</v>
      </c>
      <c r="C201" t="s">
        <v>27</v>
      </c>
      <c r="D201">
        <v>106.64</v>
      </c>
      <c r="E201">
        <v>10</v>
      </c>
      <c r="F201">
        <v>51</v>
      </c>
      <c r="G201" t="s">
        <v>33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79612-8BD7-40EA-9D5A-2165C0273E84}">
  <dimension ref="A1:H184"/>
  <sheetViews>
    <sheetView tabSelected="1" topLeftCell="A5" workbookViewId="0">
      <selection activeCell="A24" sqref="A24"/>
    </sheetView>
  </sheetViews>
  <sheetFormatPr defaultRowHeight="14.25" x14ac:dyDescent="0.45"/>
  <cols>
    <col min="1" max="1" width="23.73046875" bestFit="1" customWidth="1"/>
    <col min="2" max="2" width="12.3984375" bestFit="1" customWidth="1"/>
    <col min="3" max="3" width="15.19921875" customWidth="1"/>
    <col min="4" max="4" width="12.3984375" bestFit="1" customWidth="1"/>
    <col min="5" max="5" width="17.19921875" customWidth="1"/>
    <col min="6" max="6" width="11.9296875" bestFit="1" customWidth="1"/>
    <col min="7" max="7" width="13" customWidth="1"/>
    <col min="8" max="8" width="13.9296875" customWidth="1"/>
  </cols>
  <sheetData>
    <row r="1" spans="1:8" x14ac:dyDescent="0.45">
      <c r="A1" t="e" cm="1" vm="1">
        <f t="array" ref="A1">_xlfn._xlws.PY(1,1,sales[#All])</f>
        <v>#VALUE!</v>
      </c>
    </row>
    <row r="3" spans="1:8" x14ac:dyDescent="0.45">
      <c r="A3" t="str" cm="1">
        <f t="array" ref="A3:G8">_xlfn._xlws.PY(2,0)</f>
        <v>order_id</v>
      </c>
      <c r="B3" t="str">
        <v>product</v>
      </c>
      <c r="C3" t="str">
        <v>category</v>
      </c>
      <c r="D3" t="str">
        <v>unit_price</v>
      </c>
      <c r="E3" t="str">
        <v>quantity</v>
      </c>
      <c r="F3" t="str">
        <v>customer_age</v>
      </c>
      <c r="G3" t="str">
        <v>country</v>
      </c>
    </row>
    <row r="4" spans="1:8" x14ac:dyDescent="0.45">
      <c r="A4" t="str">
        <v>ORD-0001</v>
      </c>
      <c r="B4" t="str">
        <v>Desk</v>
      </c>
      <c r="C4" t="str">
        <v>Furniture</v>
      </c>
      <c r="D4">
        <v>68.760000000000005</v>
      </c>
      <c r="E4">
        <v>5</v>
      </c>
      <c r="F4">
        <v>37</v>
      </c>
      <c r="G4" t="str">
        <v>United States</v>
      </c>
    </row>
    <row r="5" spans="1:8" x14ac:dyDescent="0.45">
      <c r="A5" t="str">
        <v>ORD-0002</v>
      </c>
      <c r="B5" t="str">
        <v>Lamp</v>
      </c>
      <c r="C5" t="str">
        <v>Furniture</v>
      </c>
      <c r="D5">
        <v>115.2</v>
      </c>
      <c r="E5">
        <v>7</v>
      </c>
      <c r="F5">
        <v>24</v>
      </c>
      <c r="G5" t="str">
        <v>United States</v>
      </c>
    </row>
    <row r="6" spans="1:8" x14ac:dyDescent="0.45">
      <c r="A6" t="str">
        <v>ORD-0003</v>
      </c>
      <c r="B6" t="str">
        <v>Lamp</v>
      </c>
      <c r="C6" t="str">
        <v>Furniture</v>
      </c>
      <c r="D6">
        <v>69.900000000000006</v>
      </c>
      <c r="E6">
        <v>4</v>
      </c>
      <c r="F6">
        <v>63</v>
      </c>
      <c r="G6" t="str">
        <v>Germany</v>
      </c>
    </row>
    <row r="7" spans="1:8" x14ac:dyDescent="0.45">
      <c r="A7" t="str">
        <v>ORD-0004</v>
      </c>
      <c r="B7" t="str">
        <v>Notebook</v>
      </c>
      <c r="C7" t="str">
        <v>Office Supplies</v>
      </c>
      <c r="D7">
        <v>15.35</v>
      </c>
      <c r="E7">
        <v>1</v>
      </c>
      <c r="F7">
        <v>32</v>
      </c>
      <c r="G7" t="str">
        <v>Germany</v>
      </c>
    </row>
    <row r="8" spans="1:8" x14ac:dyDescent="0.45">
      <c r="A8" t="str">
        <v>ORD-0005</v>
      </c>
      <c r="B8" t="str">
        <v>Tablet</v>
      </c>
      <c r="C8" t="str">
        <v>Electronics</v>
      </c>
      <c r="D8">
        <v>479.68</v>
      </c>
      <c r="E8">
        <v>6</v>
      </c>
      <c r="F8">
        <v>28</v>
      </c>
      <c r="G8" t="str">
        <v>United States</v>
      </c>
    </row>
    <row r="10" spans="1:8" x14ac:dyDescent="0.45">
      <c r="A10" t="str" cm="1">
        <f t="array" ref="A10:H15">_xlfn._xlws.PY(3,0)</f>
        <v/>
      </c>
      <c r="B10" t="str">
        <v>order_id</v>
      </c>
      <c r="C10" t="str">
        <v>product</v>
      </c>
      <c r="D10" t="str">
        <v>category</v>
      </c>
      <c r="E10" t="str">
        <v>unit_price</v>
      </c>
      <c r="F10" t="str">
        <v>quantity</v>
      </c>
      <c r="G10" t="str">
        <v>customer_age</v>
      </c>
      <c r="H10" t="str">
        <v>country</v>
      </c>
    </row>
    <row r="11" spans="1:8" x14ac:dyDescent="0.45">
      <c r="A11">
        <v>195</v>
      </c>
      <c r="B11" t="str">
        <v>ORD-0196</v>
      </c>
      <c r="C11" t="str">
        <v>Headphones</v>
      </c>
      <c r="D11" t="str">
        <v>Electronics</v>
      </c>
      <c r="E11">
        <v>162.49</v>
      </c>
      <c r="F11">
        <v>2</v>
      </c>
      <c r="G11">
        <v>22</v>
      </c>
      <c r="H11" t="str">
        <v>United Kingdom</v>
      </c>
    </row>
    <row r="12" spans="1:8" x14ac:dyDescent="0.45">
      <c r="A12">
        <v>196</v>
      </c>
      <c r="B12" t="str">
        <v>ORD-0197</v>
      </c>
      <c r="C12" t="str">
        <v>Monitor</v>
      </c>
      <c r="D12" t="str">
        <v>Electronics</v>
      </c>
      <c r="E12">
        <v>277.98</v>
      </c>
      <c r="F12">
        <v>4</v>
      </c>
      <c r="G12">
        <v>54</v>
      </c>
      <c r="H12" t="str">
        <v>United Kingdom</v>
      </c>
    </row>
    <row r="13" spans="1:8" x14ac:dyDescent="0.45">
      <c r="A13">
        <v>197</v>
      </c>
      <c r="B13" t="str">
        <v>ORD-0198</v>
      </c>
      <c r="C13" t="str">
        <v>Printer Paper</v>
      </c>
      <c r="D13" t="str">
        <v>Office Supplies</v>
      </c>
      <c r="E13">
        <v>21.06</v>
      </c>
      <c r="F13">
        <v>1</v>
      </c>
      <c r="G13">
        <v>49</v>
      </c>
      <c r="H13" t="str">
        <v>United States</v>
      </c>
    </row>
    <row r="14" spans="1:8" x14ac:dyDescent="0.45">
      <c r="A14">
        <v>198</v>
      </c>
      <c r="B14" t="str">
        <v>ORD-0199</v>
      </c>
      <c r="C14" t="str">
        <v>Notebook</v>
      </c>
      <c r="D14" t="str">
        <v>Office Supplies</v>
      </c>
      <c r="E14">
        <v>22.61</v>
      </c>
      <c r="F14">
        <v>7</v>
      </c>
      <c r="G14">
        <v>62</v>
      </c>
      <c r="H14" t="str">
        <v>United Kingdom</v>
      </c>
    </row>
    <row r="15" spans="1:8" x14ac:dyDescent="0.45">
      <c r="A15">
        <v>199</v>
      </c>
      <c r="B15" t="str">
        <v>ORD-0200</v>
      </c>
      <c r="C15" t="str">
        <v>Headphones</v>
      </c>
      <c r="D15" t="str">
        <v>Electronics</v>
      </c>
      <c r="E15">
        <v>106.64</v>
      </c>
      <c r="F15">
        <v>10</v>
      </c>
      <c r="G15">
        <v>51</v>
      </c>
      <c r="H15" t="str">
        <v>Canada</v>
      </c>
    </row>
    <row r="17" spans="1:8" x14ac:dyDescent="0.45">
      <c r="A17" t="str" cm="1">
        <f t="array" ref="A17:H22">_xlfn._xlws.PY(4,0)</f>
        <v/>
      </c>
      <c r="B17" t="str">
        <v>order_id</v>
      </c>
      <c r="C17" t="str">
        <v>product</v>
      </c>
      <c r="D17" t="str">
        <v>category</v>
      </c>
      <c r="E17" t="str">
        <v>unit_price</v>
      </c>
      <c r="F17" t="str">
        <v>quantity</v>
      </c>
      <c r="G17" t="str">
        <v>customer_age</v>
      </c>
      <c r="H17" t="str">
        <v>country</v>
      </c>
    </row>
    <row r="18" spans="1:8" x14ac:dyDescent="0.45">
      <c r="A18">
        <v>110</v>
      </c>
      <c r="B18" t="str">
        <v>ORD-0111</v>
      </c>
      <c r="C18" t="str">
        <v>Keyboard</v>
      </c>
      <c r="D18" t="str">
        <v>Electronics</v>
      </c>
      <c r="E18">
        <v>475.83</v>
      </c>
      <c r="F18">
        <v>2</v>
      </c>
      <c r="G18">
        <v>37</v>
      </c>
      <c r="H18" t="str">
        <v>United States</v>
      </c>
    </row>
    <row r="19" spans="1:8" x14ac:dyDescent="0.45">
      <c r="A19">
        <v>162</v>
      </c>
      <c r="B19" t="str">
        <v>ORD-0163</v>
      </c>
      <c r="C19" t="str">
        <v>Binder</v>
      </c>
      <c r="D19" t="str">
        <v>Office Supplies</v>
      </c>
      <c r="E19">
        <v>33.159999999999997</v>
      </c>
      <c r="F19">
        <v>2</v>
      </c>
      <c r="G19" t="e">
        <v>#NUM!</v>
      </c>
      <c r="H19" t="str">
        <v>United States</v>
      </c>
    </row>
    <row r="20" spans="1:8" x14ac:dyDescent="0.45">
      <c r="A20">
        <v>4</v>
      </c>
      <c r="B20" t="str">
        <v>ORD-0005</v>
      </c>
      <c r="C20" t="str">
        <v>Tablet</v>
      </c>
      <c r="D20" t="str">
        <v>Electronics</v>
      </c>
      <c r="E20">
        <v>479.68</v>
      </c>
      <c r="F20">
        <v>6</v>
      </c>
      <c r="G20">
        <v>28</v>
      </c>
      <c r="H20" t="str">
        <v>United States</v>
      </c>
    </row>
    <row r="21" spans="1:8" x14ac:dyDescent="0.45">
      <c r="A21">
        <v>102</v>
      </c>
      <c r="B21" t="str">
        <v>ORD-0103</v>
      </c>
      <c r="C21" t="str">
        <v>Bookshelf</v>
      </c>
      <c r="D21" t="str">
        <v>Furniture</v>
      </c>
      <c r="E21">
        <v>369.13</v>
      </c>
      <c r="F21">
        <v>9</v>
      </c>
      <c r="G21">
        <v>43</v>
      </c>
      <c r="H21" t="str">
        <v>United States</v>
      </c>
    </row>
    <row r="22" spans="1:8" x14ac:dyDescent="0.45">
      <c r="A22">
        <v>160</v>
      </c>
      <c r="B22" t="str">
        <v>ORD-0161</v>
      </c>
      <c r="C22" t="str">
        <v>Binder</v>
      </c>
      <c r="D22" t="str">
        <v>Office Supplies</v>
      </c>
      <c r="E22">
        <v>30.06</v>
      </c>
      <c r="F22">
        <v>6</v>
      </c>
      <c r="G22">
        <v>28</v>
      </c>
      <c r="H22" t="str">
        <v>Germany</v>
      </c>
    </row>
    <row r="24" spans="1:8" x14ac:dyDescent="0.45">
      <c r="A24" t="str" cm="1">
        <f t="array" ref="A24:B30">_xlfn._xlws.PY(5,0)</f>
        <v>order_id</v>
      </c>
      <c r="B24">
        <v>0</v>
      </c>
    </row>
    <row r="25" spans="1:8" x14ac:dyDescent="0.45">
      <c r="A25" t="str">
        <v>product</v>
      </c>
      <c r="B25">
        <v>0</v>
      </c>
    </row>
    <row r="26" spans="1:8" x14ac:dyDescent="0.45">
      <c r="A26" t="str">
        <v>category</v>
      </c>
      <c r="B26">
        <v>0</v>
      </c>
    </row>
    <row r="27" spans="1:8" x14ac:dyDescent="0.45">
      <c r="A27" t="str">
        <v>unit_price</v>
      </c>
      <c r="B27">
        <v>0</v>
      </c>
    </row>
    <row r="28" spans="1:8" x14ac:dyDescent="0.45">
      <c r="A28" t="str">
        <v>quantity</v>
      </c>
      <c r="B28">
        <v>0</v>
      </c>
    </row>
    <row r="29" spans="1:8" x14ac:dyDescent="0.45">
      <c r="A29" t="str">
        <v>customer_age</v>
      </c>
      <c r="B29">
        <v>3</v>
      </c>
    </row>
    <row r="30" spans="1:8" x14ac:dyDescent="0.45">
      <c r="A30" t="str">
        <v>country</v>
      </c>
      <c r="B30">
        <v>0</v>
      </c>
    </row>
    <row r="32" spans="1:8" x14ac:dyDescent="0.45">
      <c r="A32" t="str" cm="1">
        <f t="array" ref="A32:B38">_xlfn._xlws.PY(6,0)</f>
        <v>customer_age</v>
      </c>
      <c r="B32">
        <v>3</v>
      </c>
    </row>
    <row r="33" spans="1:4" x14ac:dyDescent="0.45">
      <c r="A33" t="str">
        <v>order_id</v>
      </c>
      <c r="B33">
        <v>0</v>
      </c>
    </row>
    <row r="34" spans="1:4" x14ac:dyDescent="0.45">
      <c r="A34" t="str">
        <v>product</v>
      </c>
      <c r="B34">
        <v>0</v>
      </c>
    </row>
    <row r="35" spans="1:4" x14ac:dyDescent="0.45">
      <c r="A35" t="str">
        <v>category</v>
      </c>
      <c r="B35">
        <v>0</v>
      </c>
    </row>
    <row r="36" spans="1:4" x14ac:dyDescent="0.45">
      <c r="A36" t="str">
        <v>unit_price</v>
      </c>
      <c r="B36">
        <v>0</v>
      </c>
    </row>
    <row r="37" spans="1:4" x14ac:dyDescent="0.45">
      <c r="A37" t="str">
        <v>quantity</v>
      </c>
      <c r="B37">
        <v>0</v>
      </c>
    </row>
    <row r="38" spans="1:4" x14ac:dyDescent="0.45">
      <c r="A38" t="str">
        <v>country</v>
      </c>
      <c r="B38">
        <v>0</v>
      </c>
    </row>
    <row r="40" spans="1:4" x14ac:dyDescent="0.45">
      <c r="A40" cm="1">
        <f t="array" ref="A40:A41">_xlfn._xlws.PY(7,0)</f>
        <v>200</v>
      </c>
    </row>
    <row r="41" spans="1:4" x14ac:dyDescent="0.45">
      <c r="A41">
        <v>7</v>
      </c>
    </row>
    <row r="43" spans="1:4" x14ac:dyDescent="0.45">
      <c r="A43" t="str" cm="1">
        <f t="array" ref="A43:D51">_xlfn._xlws.PY(8,0)</f>
        <v/>
      </c>
      <c r="B43" t="str">
        <v>unit_price</v>
      </c>
      <c r="C43" t="str">
        <v>quantity</v>
      </c>
      <c r="D43" t="str">
        <v>customer_age</v>
      </c>
    </row>
    <row r="44" spans="1:4" x14ac:dyDescent="0.45">
      <c r="A44" t="str">
        <v>count</v>
      </c>
      <c r="B44">
        <v>200</v>
      </c>
      <c r="C44">
        <v>200</v>
      </c>
      <c r="D44">
        <v>194</v>
      </c>
    </row>
    <row r="45" spans="1:4" x14ac:dyDescent="0.45">
      <c r="A45" t="str">
        <v>mean</v>
      </c>
      <c r="B45">
        <v>211.94830000000002</v>
      </c>
      <c r="C45">
        <v>5.7</v>
      </c>
      <c r="D45">
        <v>43.597938144329895</v>
      </c>
    </row>
    <row r="46" spans="1:4" x14ac:dyDescent="0.45">
      <c r="A46" t="str">
        <v>std</v>
      </c>
      <c r="B46">
        <v>215.73323312713649</v>
      </c>
      <c r="C46">
        <v>2.7252771745993041</v>
      </c>
      <c r="D46">
        <v>13.286527356620564</v>
      </c>
    </row>
    <row r="47" spans="1:4" x14ac:dyDescent="0.45">
      <c r="A47" t="str">
        <v>min</v>
      </c>
      <c r="B47">
        <v>2.17</v>
      </c>
      <c r="C47">
        <v>1</v>
      </c>
      <c r="D47">
        <v>22</v>
      </c>
    </row>
    <row r="48" spans="1:4" x14ac:dyDescent="0.45">
      <c r="A48" t="str">
        <v>25%</v>
      </c>
      <c r="B48">
        <v>31.2075</v>
      </c>
      <c r="C48">
        <v>4</v>
      </c>
      <c r="D48">
        <v>33.25</v>
      </c>
    </row>
    <row r="49" spans="1:5" x14ac:dyDescent="0.45">
      <c r="A49" t="str">
        <v>50%</v>
      </c>
      <c r="B49">
        <v>111.38</v>
      </c>
      <c r="C49">
        <v>5.5</v>
      </c>
      <c r="D49">
        <v>43</v>
      </c>
    </row>
    <row r="50" spans="1:5" x14ac:dyDescent="0.45">
      <c r="A50" t="str">
        <v>75%</v>
      </c>
      <c r="B50">
        <v>378.83</v>
      </c>
      <c r="C50">
        <v>8</v>
      </c>
      <c r="D50">
        <v>55.75</v>
      </c>
    </row>
    <row r="51" spans="1:5" x14ac:dyDescent="0.45">
      <c r="A51" t="str">
        <v>max</v>
      </c>
      <c r="B51">
        <v>760.69</v>
      </c>
      <c r="C51">
        <v>10</v>
      </c>
      <c r="D51">
        <v>65</v>
      </c>
    </row>
    <row r="53" spans="1:5" x14ac:dyDescent="0.45">
      <c r="A53" t="str" cm="1">
        <f t="array" ref="A53:D61">_xlfn._xlws.PY(9,0)</f>
        <v/>
      </c>
      <c r="B53" t="str">
        <v>unit_price</v>
      </c>
      <c r="C53" t="str">
        <v>quantity</v>
      </c>
      <c r="D53" t="str">
        <v>customer_age</v>
      </c>
    </row>
    <row r="54" spans="1:5" x14ac:dyDescent="0.45">
      <c r="A54" t="str">
        <v>count</v>
      </c>
      <c r="B54">
        <v>200</v>
      </c>
      <c r="C54">
        <v>200</v>
      </c>
      <c r="D54">
        <v>194</v>
      </c>
    </row>
    <row r="55" spans="1:5" x14ac:dyDescent="0.45">
      <c r="A55" t="str">
        <v>mean</v>
      </c>
      <c r="B55">
        <v>211.94830000000002</v>
      </c>
      <c r="C55">
        <v>5.7</v>
      </c>
      <c r="D55">
        <v>43.597938144329895</v>
      </c>
    </row>
    <row r="56" spans="1:5" x14ac:dyDescent="0.45">
      <c r="A56" t="str">
        <v>std</v>
      </c>
      <c r="B56">
        <v>215.73323312713649</v>
      </c>
      <c r="C56">
        <v>2.7252771745993041</v>
      </c>
      <c r="D56">
        <v>13.286527356620564</v>
      </c>
    </row>
    <row r="57" spans="1:5" x14ac:dyDescent="0.45">
      <c r="A57" t="str">
        <v>min</v>
      </c>
      <c r="B57">
        <v>2.17</v>
      </c>
      <c r="C57">
        <v>1</v>
      </c>
      <c r="D57">
        <v>22</v>
      </c>
    </row>
    <row r="58" spans="1:5" x14ac:dyDescent="0.45">
      <c r="A58" t="str">
        <v>10%</v>
      </c>
      <c r="B58">
        <v>13.033000000000001</v>
      </c>
      <c r="C58">
        <v>2</v>
      </c>
      <c r="D58">
        <v>25.3</v>
      </c>
    </row>
    <row r="59" spans="1:5" x14ac:dyDescent="0.45">
      <c r="A59" t="str">
        <v>50%</v>
      </c>
      <c r="B59">
        <v>111.38</v>
      </c>
      <c r="C59">
        <v>5.5</v>
      </c>
      <c r="D59">
        <v>43</v>
      </c>
    </row>
    <row r="60" spans="1:5" x14ac:dyDescent="0.45">
      <c r="A60" t="str">
        <v>90%</v>
      </c>
      <c r="B60">
        <v>512.85599999999999</v>
      </c>
      <c r="C60">
        <v>9.0999999999999943</v>
      </c>
      <c r="D60">
        <v>62</v>
      </c>
    </row>
    <row r="61" spans="1:5" x14ac:dyDescent="0.45">
      <c r="A61" t="str">
        <v>max</v>
      </c>
      <c r="B61">
        <v>760.69</v>
      </c>
      <c r="C61">
        <v>10</v>
      </c>
      <c r="D61">
        <v>65</v>
      </c>
    </row>
    <row r="63" spans="1:5" x14ac:dyDescent="0.45">
      <c r="A63" t="str" cm="1">
        <f t="array" ref="A63:E67">_xlfn._xlws.PY(10,0)</f>
        <v/>
      </c>
      <c r="B63" t="str">
        <v>order_id</v>
      </c>
      <c r="C63" t="str">
        <v>product</v>
      </c>
      <c r="D63" t="str">
        <v>category</v>
      </c>
      <c r="E63" t="str">
        <v>country</v>
      </c>
    </row>
    <row r="64" spans="1:5" x14ac:dyDescent="0.45">
      <c r="A64" t="str">
        <v>count</v>
      </c>
      <c r="B64">
        <v>200</v>
      </c>
      <c r="C64">
        <v>200</v>
      </c>
      <c r="D64">
        <v>200</v>
      </c>
      <c r="E64">
        <v>200</v>
      </c>
    </row>
    <row r="65" spans="1:5" x14ac:dyDescent="0.45">
      <c r="A65" t="str">
        <v>unique</v>
      </c>
      <c r="B65">
        <v>200</v>
      </c>
      <c r="C65">
        <v>15</v>
      </c>
      <c r="D65">
        <v>3</v>
      </c>
      <c r="E65">
        <v>5</v>
      </c>
    </row>
    <row r="66" spans="1:5" x14ac:dyDescent="0.45">
      <c r="A66" t="str">
        <v>top</v>
      </c>
      <c r="B66" t="str">
        <v>ORD-0001</v>
      </c>
      <c r="C66" t="str">
        <v>Notebook</v>
      </c>
      <c r="D66" t="str">
        <v>Office Supplies</v>
      </c>
      <c r="E66" t="str">
        <v>United States</v>
      </c>
    </row>
    <row r="67" spans="1:5" x14ac:dyDescent="0.45">
      <c r="A67" t="str">
        <v>freq</v>
      </c>
      <c r="B67">
        <v>1</v>
      </c>
      <c r="C67">
        <v>19</v>
      </c>
      <c r="D67">
        <v>80</v>
      </c>
      <c r="E67">
        <v>77</v>
      </c>
    </row>
    <row r="69" spans="1:5" x14ac:dyDescent="0.45">
      <c r="A69" t="str" cm="1">
        <f t="array" ref="A69:C74">_xlfn._xlws.PY(11,0)</f>
        <v>product</v>
      </c>
      <c r="B69" t="str">
        <v>category</v>
      </c>
      <c r="C69" t="str">
        <v>unit_price</v>
      </c>
    </row>
    <row r="70" spans="1:5" x14ac:dyDescent="0.45">
      <c r="A70" t="str">
        <v>Desk</v>
      </c>
      <c r="B70" t="str">
        <v>Furniture</v>
      </c>
      <c r="C70">
        <v>68.760000000000005</v>
      </c>
    </row>
    <row r="71" spans="1:5" x14ac:dyDescent="0.45">
      <c r="A71" t="str">
        <v>Lamp</v>
      </c>
      <c r="B71" t="str">
        <v>Furniture</v>
      </c>
      <c r="C71">
        <v>115.2</v>
      </c>
    </row>
    <row r="72" spans="1:5" x14ac:dyDescent="0.45">
      <c r="A72" t="str">
        <v>Lamp</v>
      </c>
      <c r="B72" t="str">
        <v>Furniture</v>
      </c>
      <c r="C72">
        <v>69.900000000000006</v>
      </c>
    </row>
    <row r="73" spans="1:5" x14ac:dyDescent="0.45">
      <c r="A73" t="str">
        <v>Notebook</v>
      </c>
      <c r="B73" t="str">
        <v>Office Supplies</v>
      </c>
      <c r="C73">
        <v>15.35</v>
      </c>
    </row>
    <row r="74" spans="1:5" x14ac:dyDescent="0.45">
      <c r="A74" t="str">
        <v>Tablet</v>
      </c>
      <c r="B74" t="str">
        <v>Electronics</v>
      </c>
      <c r="C74">
        <v>479.68</v>
      </c>
    </row>
    <row r="76" spans="1:5" x14ac:dyDescent="0.45">
      <c r="A76" t="str" cm="1">
        <f t="array" ref="A76:A81">_xlfn._xlws.PY(12,0)</f>
        <v>country</v>
      </c>
    </row>
    <row r="77" spans="1:5" x14ac:dyDescent="0.45">
      <c r="A77" t="str">
        <v>United States</v>
      </c>
    </row>
    <row r="78" spans="1:5" x14ac:dyDescent="0.45">
      <c r="A78" t="str">
        <v>United States</v>
      </c>
    </row>
    <row r="79" spans="1:5" x14ac:dyDescent="0.45">
      <c r="A79" t="str">
        <v>Germany</v>
      </c>
    </row>
    <row r="80" spans="1:5" x14ac:dyDescent="0.45">
      <c r="A80" t="str">
        <v>Germany</v>
      </c>
    </row>
    <row r="81" spans="1:8" x14ac:dyDescent="0.45">
      <c r="A81" t="str">
        <v>United States</v>
      </c>
    </row>
    <row r="84" spans="1:8" x14ac:dyDescent="0.45">
      <c r="A84" t="str" cm="1">
        <f t="array" ref="A84:H89">_xlfn._xlws.PY(13,0)</f>
        <v/>
      </c>
      <c r="B84" t="str">
        <v>order_id</v>
      </c>
      <c r="C84" t="str">
        <v>product</v>
      </c>
      <c r="D84" t="str">
        <v>category</v>
      </c>
      <c r="E84" t="str">
        <v>unit_price</v>
      </c>
      <c r="F84" t="str">
        <v>quantity</v>
      </c>
      <c r="G84" t="str">
        <v>customer_age</v>
      </c>
      <c r="H84" t="str">
        <v>country</v>
      </c>
    </row>
    <row r="85" spans="1:8" x14ac:dyDescent="0.45">
      <c r="A85">
        <v>0</v>
      </c>
      <c r="B85" t="str">
        <v>ORD-0001</v>
      </c>
      <c r="C85" t="str">
        <v>Desk</v>
      </c>
      <c r="D85" t="str">
        <v>Furniture</v>
      </c>
      <c r="E85">
        <v>68.760000000000005</v>
      </c>
      <c r="F85">
        <v>5</v>
      </c>
      <c r="G85">
        <v>37</v>
      </c>
      <c r="H85" t="str">
        <v>United States</v>
      </c>
    </row>
    <row r="86" spans="1:8" x14ac:dyDescent="0.45">
      <c r="A86">
        <v>1</v>
      </c>
      <c r="B86" t="str">
        <v>ORD-0002</v>
      </c>
      <c r="C86" t="str">
        <v>Lamp</v>
      </c>
      <c r="D86" t="str">
        <v>Furniture</v>
      </c>
      <c r="E86">
        <v>115.2</v>
      </c>
      <c r="F86">
        <v>7</v>
      </c>
      <c r="G86">
        <v>24</v>
      </c>
      <c r="H86" t="str">
        <v>United States</v>
      </c>
    </row>
    <row r="87" spans="1:8" x14ac:dyDescent="0.45">
      <c r="A87">
        <v>4</v>
      </c>
      <c r="B87" t="str">
        <v>ORD-0005</v>
      </c>
      <c r="C87" t="str">
        <v>Tablet</v>
      </c>
      <c r="D87" t="str">
        <v>Electronics</v>
      </c>
      <c r="E87">
        <v>479.68</v>
      </c>
      <c r="F87">
        <v>6</v>
      </c>
      <c r="G87">
        <v>28</v>
      </c>
      <c r="H87" t="str">
        <v>United States</v>
      </c>
    </row>
    <row r="88" spans="1:8" x14ac:dyDescent="0.45">
      <c r="A88">
        <v>11</v>
      </c>
      <c r="B88" t="str">
        <v>ORD-0012</v>
      </c>
      <c r="C88" t="str">
        <v>Tablet</v>
      </c>
      <c r="D88" t="str">
        <v>Electronics</v>
      </c>
      <c r="E88">
        <v>415.36</v>
      </c>
      <c r="F88">
        <v>6</v>
      </c>
      <c r="G88">
        <v>47</v>
      </c>
      <c r="H88" t="str">
        <v>United States</v>
      </c>
    </row>
    <row r="89" spans="1:8" x14ac:dyDescent="0.45">
      <c r="A89">
        <v>13</v>
      </c>
      <c r="B89" t="str">
        <v>ORD-0014</v>
      </c>
      <c r="C89" t="str">
        <v>Headphones</v>
      </c>
      <c r="D89" t="str">
        <v>Electronics</v>
      </c>
      <c r="E89">
        <v>91.32</v>
      </c>
      <c r="F89">
        <v>9</v>
      </c>
      <c r="G89">
        <v>56</v>
      </c>
      <c r="H89" t="str">
        <v>United States</v>
      </c>
    </row>
    <row r="91" spans="1:8" x14ac:dyDescent="0.45">
      <c r="A91" t="str" cm="1">
        <f t="array" ref="A91:H96">_xlfn._xlws.PY(14,0)</f>
        <v/>
      </c>
      <c r="B91" t="str">
        <v>order_id</v>
      </c>
      <c r="C91" t="str">
        <v>product</v>
      </c>
      <c r="D91" t="str">
        <v>category</v>
      </c>
      <c r="E91" t="str">
        <v>unit_price</v>
      </c>
      <c r="F91" t="str">
        <v>quantity</v>
      </c>
      <c r="G91" t="str">
        <v>customer_age</v>
      </c>
      <c r="H91" t="str">
        <v>country</v>
      </c>
    </row>
    <row r="92" spans="1:8" x14ac:dyDescent="0.45">
      <c r="A92">
        <v>0</v>
      </c>
      <c r="B92" t="str">
        <v>ORD-0001</v>
      </c>
      <c r="C92" t="str">
        <v>Desk</v>
      </c>
      <c r="D92" t="str">
        <v>Furniture</v>
      </c>
      <c r="E92">
        <v>68.760000000000005</v>
      </c>
      <c r="F92">
        <v>5</v>
      </c>
      <c r="G92">
        <v>37</v>
      </c>
      <c r="H92" t="str">
        <v>United States</v>
      </c>
    </row>
    <row r="93" spans="1:8" x14ac:dyDescent="0.45">
      <c r="A93">
        <v>1</v>
      </c>
      <c r="B93" t="str">
        <v>ORD-0002</v>
      </c>
      <c r="C93" t="str">
        <v>Lamp</v>
      </c>
      <c r="D93" t="str">
        <v>Furniture</v>
      </c>
      <c r="E93">
        <v>115.2</v>
      </c>
      <c r="F93">
        <v>7</v>
      </c>
      <c r="G93">
        <v>24</v>
      </c>
      <c r="H93" t="str">
        <v>United States</v>
      </c>
    </row>
    <row r="94" spans="1:8" x14ac:dyDescent="0.45">
      <c r="A94">
        <v>4</v>
      </c>
      <c r="B94" t="str">
        <v>ORD-0005</v>
      </c>
      <c r="C94" t="str">
        <v>Tablet</v>
      </c>
      <c r="D94" t="str">
        <v>Electronics</v>
      </c>
      <c r="E94">
        <v>479.68</v>
      </c>
      <c r="F94">
        <v>6</v>
      </c>
      <c r="G94">
        <v>28</v>
      </c>
      <c r="H94" t="str">
        <v>United States</v>
      </c>
    </row>
    <row r="95" spans="1:8" x14ac:dyDescent="0.45">
      <c r="A95">
        <v>11</v>
      </c>
      <c r="B95" t="str">
        <v>ORD-0012</v>
      </c>
      <c r="C95" t="str">
        <v>Tablet</v>
      </c>
      <c r="D95" t="str">
        <v>Electronics</v>
      </c>
      <c r="E95">
        <v>415.36</v>
      </c>
      <c r="F95">
        <v>6</v>
      </c>
      <c r="G95">
        <v>47</v>
      </c>
      <c r="H95" t="str">
        <v>United States</v>
      </c>
    </row>
    <row r="96" spans="1:8" x14ac:dyDescent="0.45">
      <c r="A96">
        <v>13</v>
      </c>
      <c r="B96" t="str">
        <v>ORD-0014</v>
      </c>
      <c r="C96" t="str">
        <v>Headphones</v>
      </c>
      <c r="D96" t="str">
        <v>Electronics</v>
      </c>
      <c r="E96">
        <v>91.32</v>
      </c>
      <c r="F96">
        <v>9</v>
      </c>
      <c r="G96">
        <v>56</v>
      </c>
      <c r="H96" t="str">
        <v>United States</v>
      </c>
    </row>
    <row r="98" spans="1:8" x14ac:dyDescent="0.45">
      <c r="A98" t="str" cm="1">
        <f t="array" ref="A98:H103">_xlfn._xlws.PY(15,0)</f>
        <v/>
      </c>
      <c r="B98" t="str">
        <v>order_id</v>
      </c>
      <c r="C98" t="str">
        <v>product</v>
      </c>
      <c r="D98" t="str">
        <v>category</v>
      </c>
      <c r="E98" t="str">
        <v>unit_price</v>
      </c>
      <c r="F98" t="str">
        <v>quantity</v>
      </c>
      <c r="G98" t="str">
        <v>customer_age</v>
      </c>
      <c r="H98" t="str">
        <v>country</v>
      </c>
    </row>
    <row r="99" spans="1:8" x14ac:dyDescent="0.45">
      <c r="A99">
        <v>0</v>
      </c>
      <c r="B99" t="str">
        <v>ORD-0001</v>
      </c>
      <c r="C99" t="str">
        <v>Desk</v>
      </c>
      <c r="D99" t="str">
        <v>Furniture</v>
      </c>
      <c r="E99">
        <v>68.760000000000005</v>
      </c>
      <c r="F99">
        <v>5</v>
      </c>
      <c r="G99">
        <v>37</v>
      </c>
      <c r="H99" t="str">
        <v>United States</v>
      </c>
    </row>
    <row r="100" spans="1:8" x14ac:dyDescent="0.45">
      <c r="A100">
        <v>1</v>
      </c>
      <c r="B100" t="str">
        <v>ORD-0002</v>
      </c>
      <c r="C100" t="str">
        <v>Lamp</v>
      </c>
      <c r="D100" t="str">
        <v>Furniture</v>
      </c>
      <c r="E100">
        <v>115.2</v>
      </c>
      <c r="F100">
        <v>7</v>
      </c>
      <c r="G100">
        <v>24</v>
      </c>
      <c r="H100" t="str">
        <v>United States</v>
      </c>
    </row>
    <row r="101" spans="1:8" x14ac:dyDescent="0.45">
      <c r="A101">
        <v>4</v>
      </c>
      <c r="B101" t="str">
        <v>ORD-0005</v>
      </c>
      <c r="C101" t="str">
        <v>Tablet</v>
      </c>
      <c r="D101" t="str">
        <v>Electronics</v>
      </c>
      <c r="E101">
        <v>479.68</v>
      </c>
      <c r="F101">
        <v>6</v>
      </c>
      <c r="G101">
        <v>28</v>
      </c>
      <c r="H101" t="str">
        <v>United States</v>
      </c>
    </row>
    <row r="102" spans="1:8" x14ac:dyDescent="0.45">
      <c r="A102">
        <v>11</v>
      </c>
      <c r="B102" t="str">
        <v>ORD-0012</v>
      </c>
      <c r="C102" t="str">
        <v>Tablet</v>
      </c>
      <c r="D102" t="str">
        <v>Electronics</v>
      </c>
      <c r="E102">
        <v>415.36</v>
      </c>
      <c r="F102">
        <v>6</v>
      </c>
      <c r="G102">
        <v>47</v>
      </c>
      <c r="H102" t="str">
        <v>United States</v>
      </c>
    </row>
    <row r="103" spans="1:8" x14ac:dyDescent="0.45">
      <c r="A103">
        <v>13</v>
      </c>
      <c r="B103" t="str">
        <v>ORD-0014</v>
      </c>
      <c r="C103" t="str">
        <v>Headphones</v>
      </c>
      <c r="D103" t="str">
        <v>Electronics</v>
      </c>
      <c r="E103">
        <v>91.32</v>
      </c>
      <c r="F103">
        <v>9</v>
      </c>
      <c r="G103">
        <v>56</v>
      </c>
      <c r="H103" t="str">
        <v>United States</v>
      </c>
    </row>
    <row r="105" spans="1:8" x14ac:dyDescent="0.45">
      <c r="A105" t="str" cm="1">
        <f t="array" ref="A105:H110">_xlfn._xlws.PY(16,0)</f>
        <v/>
      </c>
      <c r="B105" t="str">
        <v>order_id</v>
      </c>
      <c r="C105" t="str">
        <v>product</v>
      </c>
      <c r="D105" t="str">
        <v>category</v>
      </c>
      <c r="E105" t="str">
        <v>unit_price</v>
      </c>
      <c r="F105" t="str">
        <v>quantity</v>
      </c>
      <c r="G105" t="str">
        <v>customer_age</v>
      </c>
      <c r="H105" t="str">
        <v>country</v>
      </c>
    </row>
    <row r="106" spans="1:8" x14ac:dyDescent="0.45">
      <c r="A106">
        <v>48</v>
      </c>
      <c r="B106" t="str">
        <v>ORD-0049</v>
      </c>
      <c r="C106" t="str">
        <v>Printer Paper</v>
      </c>
      <c r="D106" t="str">
        <v>Office Supplies</v>
      </c>
      <c r="E106">
        <v>2.17</v>
      </c>
      <c r="F106">
        <v>3</v>
      </c>
      <c r="G106">
        <v>62</v>
      </c>
      <c r="H106" t="str">
        <v>Australia</v>
      </c>
    </row>
    <row r="107" spans="1:8" x14ac:dyDescent="0.45">
      <c r="A107">
        <v>79</v>
      </c>
      <c r="B107" t="str">
        <v>ORD-0080</v>
      </c>
      <c r="C107" t="str">
        <v>Stapler</v>
      </c>
      <c r="D107" t="str">
        <v>Office Supplies</v>
      </c>
      <c r="E107">
        <v>2.2799999999999998</v>
      </c>
      <c r="F107">
        <v>6</v>
      </c>
      <c r="G107">
        <v>41</v>
      </c>
      <c r="H107" t="str">
        <v>Canada</v>
      </c>
    </row>
    <row r="108" spans="1:8" x14ac:dyDescent="0.45">
      <c r="A108">
        <v>99</v>
      </c>
      <c r="B108" t="str">
        <v>ORD-0100</v>
      </c>
      <c r="C108" t="str">
        <v>Notebook</v>
      </c>
      <c r="D108" t="str">
        <v>Office Supplies</v>
      </c>
      <c r="E108">
        <v>2.4900000000000002</v>
      </c>
      <c r="F108">
        <v>4</v>
      </c>
      <c r="G108">
        <v>27</v>
      </c>
      <c r="H108" t="str">
        <v>United States</v>
      </c>
    </row>
    <row r="109" spans="1:8" x14ac:dyDescent="0.45">
      <c r="A109">
        <v>142</v>
      </c>
      <c r="B109" t="str">
        <v>ORD-0143</v>
      </c>
      <c r="C109" t="str">
        <v>Notebook</v>
      </c>
      <c r="D109" t="str">
        <v>Office Supplies</v>
      </c>
      <c r="E109">
        <v>3.72</v>
      </c>
      <c r="F109">
        <v>2</v>
      </c>
      <c r="G109">
        <v>37</v>
      </c>
      <c r="H109" t="str">
        <v>Germany</v>
      </c>
    </row>
    <row r="110" spans="1:8" x14ac:dyDescent="0.45">
      <c r="A110">
        <v>21</v>
      </c>
      <c r="B110" t="str">
        <v>ORD-0022</v>
      </c>
      <c r="C110" t="str">
        <v>Pens</v>
      </c>
      <c r="D110" t="str">
        <v>Office Supplies</v>
      </c>
      <c r="E110">
        <v>4.78</v>
      </c>
      <c r="F110">
        <v>10</v>
      </c>
      <c r="G110">
        <v>27</v>
      </c>
      <c r="H110" t="str">
        <v>United States</v>
      </c>
    </row>
    <row r="113" spans="1:8" x14ac:dyDescent="0.45">
      <c r="A113" t="str" cm="1">
        <f t="array" ref="A113:H118">_xlfn._xlws.PY(17,0)</f>
        <v/>
      </c>
      <c r="B113" t="str">
        <v>order_id</v>
      </c>
      <c r="C113" t="str">
        <v>product</v>
      </c>
      <c r="D113" t="str">
        <v>category</v>
      </c>
      <c r="E113" t="str">
        <v>unit_price</v>
      </c>
      <c r="F113" t="str">
        <v>quantity</v>
      </c>
      <c r="G113" t="str">
        <v>customer_age</v>
      </c>
      <c r="H113" t="str">
        <v>country</v>
      </c>
    </row>
    <row r="114" spans="1:8" x14ac:dyDescent="0.45">
      <c r="A114">
        <v>113</v>
      </c>
      <c r="B114" t="str">
        <v>ORD-0114</v>
      </c>
      <c r="C114" t="str">
        <v>Desk</v>
      </c>
      <c r="D114" t="str">
        <v>Furniture</v>
      </c>
      <c r="E114">
        <v>760.69</v>
      </c>
      <c r="F114">
        <v>4</v>
      </c>
      <c r="G114">
        <v>62</v>
      </c>
      <c r="H114" t="str">
        <v>United States</v>
      </c>
    </row>
    <row r="115" spans="1:8" x14ac:dyDescent="0.45">
      <c r="A115">
        <v>165</v>
      </c>
      <c r="B115" t="str">
        <v>ORD-0166</v>
      </c>
      <c r="C115" t="str">
        <v>Filing Cabinet</v>
      </c>
      <c r="D115" t="str">
        <v>Furniture</v>
      </c>
      <c r="E115">
        <v>754.29</v>
      </c>
      <c r="F115">
        <v>5</v>
      </c>
      <c r="G115">
        <v>24</v>
      </c>
      <c r="H115" t="str">
        <v>Germany</v>
      </c>
    </row>
    <row r="116" spans="1:8" x14ac:dyDescent="0.45">
      <c r="A116">
        <v>45</v>
      </c>
      <c r="B116" t="str">
        <v>ORD-0046</v>
      </c>
      <c r="C116" t="str">
        <v>Desk</v>
      </c>
      <c r="D116" t="str">
        <v>Furniture</v>
      </c>
      <c r="E116">
        <v>754.2</v>
      </c>
      <c r="F116">
        <v>3</v>
      </c>
      <c r="G116">
        <v>38</v>
      </c>
      <c r="H116" t="str">
        <v>United States</v>
      </c>
    </row>
    <row r="117" spans="1:8" x14ac:dyDescent="0.45">
      <c r="A117">
        <v>40</v>
      </c>
      <c r="B117" t="str">
        <v>ORD-0041</v>
      </c>
      <c r="C117" t="str">
        <v>Bookshelf</v>
      </c>
      <c r="D117" t="str">
        <v>Furniture</v>
      </c>
      <c r="E117">
        <v>751.03</v>
      </c>
      <c r="F117">
        <v>4</v>
      </c>
      <c r="G117">
        <v>64</v>
      </c>
      <c r="H117" t="str">
        <v>Germany</v>
      </c>
    </row>
    <row r="118" spans="1:8" x14ac:dyDescent="0.45">
      <c r="A118">
        <v>152</v>
      </c>
      <c r="B118" t="str">
        <v>ORD-0153</v>
      </c>
      <c r="C118" t="str">
        <v>Desk</v>
      </c>
      <c r="D118" t="str">
        <v>Furniture</v>
      </c>
      <c r="E118">
        <v>732.96</v>
      </c>
      <c r="F118">
        <v>8</v>
      </c>
      <c r="G118">
        <v>40</v>
      </c>
      <c r="H118" t="str">
        <v>Canada</v>
      </c>
    </row>
    <row r="121" spans="1:8" x14ac:dyDescent="0.45">
      <c r="A121" t="str" cm="1">
        <f t="array" ref="A121:H126">_xlfn._xlws.PY(18,0)</f>
        <v/>
      </c>
      <c r="B121" t="str">
        <v>order_id</v>
      </c>
      <c r="C121" t="str">
        <v>product</v>
      </c>
      <c r="D121" t="str">
        <v>category</v>
      </c>
      <c r="E121" t="str">
        <v>unit_price</v>
      </c>
      <c r="F121" t="str">
        <v>quantity</v>
      </c>
      <c r="G121" t="str">
        <v>customer_age</v>
      </c>
      <c r="H121" t="str">
        <v>country</v>
      </c>
    </row>
    <row r="122" spans="1:8" x14ac:dyDescent="0.45">
      <c r="A122">
        <v>48</v>
      </c>
      <c r="B122" t="str">
        <v>ORD-0049</v>
      </c>
      <c r="C122" t="str">
        <v>Printer Paper</v>
      </c>
      <c r="D122" t="str">
        <v>Office Supplies</v>
      </c>
      <c r="E122">
        <v>2.17</v>
      </c>
      <c r="F122">
        <v>3</v>
      </c>
      <c r="G122">
        <v>62</v>
      </c>
      <c r="H122" t="str">
        <v>Australia</v>
      </c>
    </row>
    <row r="123" spans="1:8" x14ac:dyDescent="0.45">
      <c r="A123">
        <v>32</v>
      </c>
      <c r="B123" t="str">
        <v>ORD-0033</v>
      </c>
      <c r="C123" t="str">
        <v>Notebook</v>
      </c>
      <c r="D123" t="str">
        <v>Office Supplies</v>
      </c>
      <c r="E123">
        <v>6.7</v>
      </c>
      <c r="F123">
        <v>9</v>
      </c>
      <c r="G123">
        <v>22</v>
      </c>
      <c r="H123" t="str">
        <v>Australia</v>
      </c>
    </row>
    <row r="124" spans="1:8" x14ac:dyDescent="0.45">
      <c r="A124">
        <v>119</v>
      </c>
      <c r="B124" t="str">
        <v>ORD-0120</v>
      </c>
      <c r="C124" t="str">
        <v>Stapler</v>
      </c>
      <c r="D124" t="str">
        <v>Office Supplies</v>
      </c>
      <c r="E124">
        <v>7.97</v>
      </c>
      <c r="F124">
        <v>5</v>
      </c>
      <c r="G124">
        <v>47</v>
      </c>
      <c r="H124" t="str">
        <v>Australia</v>
      </c>
    </row>
    <row r="125" spans="1:8" x14ac:dyDescent="0.45">
      <c r="A125">
        <v>181</v>
      </c>
      <c r="B125" t="str">
        <v>ORD-0182</v>
      </c>
      <c r="C125" t="str">
        <v>Binder</v>
      </c>
      <c r="D125" t="str">
        <v>Office Supplies</v>
      </c>
      <c r="E125">
        <v>19.97</v>
      </c>
      <c r="F125">
        <v>3</v>
      </c>
      <c r="G125">
        <v>65</v>
      </c>
      <c r="H125" t="str">
        <v>Australia</v>
      </c>
    </row>
    <row r="126" spans="1:8" x14ac:dyDescent="0.45">
      <c r="A126">
        <v>34</v>
      </c>
      <c r="B126" t="str">
        <v>ORD-0035</v>
      </c>
      <c r="C126" t="str">
        <v>Monitor</v>
      </c>
      <c r="D126" t="str">
        <v>Electronics</v>
      </c>
      <c r="E126">
        <v>26.02</v>
      </c>
      <c r="F126">
        <v>7</v>
      </c>
      <c r="G126">
        <v>38</v>
      </c>
      <c r="H126" t="str">
        <v>Australia</v>
      </c>
    </row>
    <row r="129" spans="1:8" x14ac:dyDescent="0.45">
      <c r="A129" t="str" cm="1">
        <f t="array" ref="A129:H134">_xlfn._xlws.PY(19,0)</f>
        <v/>
      </c>
      <c r="B129" t="str">
        <v>order_id</v>
      </c>
      <c r="C129" t="str">
        <v>product</v>
      </c>
      <c r="D129" t="str">
        <v>category</v>
      </c>
      <c r="E129" t="str">
        <v>unit_price</v>
      </c>
      <c r="F129" t="str">
        <v>quantity</v>
      </c>
      <c r="G129" t="str">
        <v>customer_age</v>
      </c>
      <c r="H129" t="str">
        <v>country</v>
      </c>
    </row>
    <row r="130" spans="1:8" x14ac:dyDescent="0.45">
      <c r="A130">
        <v>113</v>
      </c>
      <c r="B130" t="str">
        <v>ORD-0114</v>
      </c>
      <c r="C130" t="str">
        <v>Desk</v>
      </c>
      <c r="D130" t="str">
        <v>Furniture</v>
      </c>
      <c r="E130">
        <v>760.69</v>
      </c>
      <c r="F130">
        <v>4</v>
      </c>
      <c r="G130">
        <v>62</v>
      </c>
      <c r="H130" t="str">
        <v>United States</v>
      </c>
    </row>
    <row r="131" spans="1:8" x14ac:dyDescent="0.45">
      <c r="A131">
        <v>165</v>
      </c>
      <c r="B131" t="str">
        <v>ORD-0166</v>
      </c>
      <c r="C131" t="str">
        <v>Filing Cabinet</v>
      </c>
      <c r="D131" t="str">
        <v>Furniture</v>
      </c>
      <c r="E131">
        <v>754.29</v>
      </c>
      <c r="F131">
        <v>5</v>
      </c>
      <c r="G131">
        <v>24</v>
      </c>
      <c r="H131" t="str">
        <v>Germany</v>
      </c>
    </row>
    <row r="132" spans="1:8" x14ac:dyDescent="0.45">
      <c r="A132">
        <v>45</v>
      </c>
      <c r="B132" t="str">
        <v>ORD-0046</v>
      </c>
      <c r="C132" t="str">
        <v>Desk</v>
      </c>
      <c r="D132" t="str">
        <v>Furniture</v>
      </c>
      <c r="E132">
        <v>754.2</v>
      </c>
      <c r="F132">
        <v>3</v>
      </c>
      <c r="G132">
        <v>38</v>
      </c>
      <c r="H132" t="str">
        <v>United States</v>
      </c>
    </row>
    <row r="133" spans="1:8" x14ac:dyDescent="0.45">
      <c r="A133">
        <v>40</v>
      </c>
      <c r="B133" t="str">
        <v>ORD-0041</v>
      </c>
      <c r="C133" t="str">
        <v>Bookshelf</v>
      </c>
      <c r="D133" t="str">
        <v>Furniture</v>
      </c>
      <c r="E133">
        <v>751.03</v>
      </c>
      <c r="F133">
        <v>4</v>
      </c>
      <c r="G133">
        <v>64</v>
      </c>
      <c r="H133" t="str">
        <v>Germany</v>
      </c>
    </row>
    <row r="134" spans="1:8" x14ac:dyDescent="0.45">
      <c r="A134">
        <v>152</v>
      </c>
      <c r="B134" t="str">
        <v>ORD-0153</v>
      </c>
      <c r="C134" t="str">
        <v>Desk</v>
      </c>
      <c r="D134" t="str">
        <v>Furniture</v>
      </c>
      <c r="E134">
        <v>732.96</v>
      </c>
      <c r="F134">
        <v>8</v>
      </c>
      <c r="G134">
        <v>40</v>
      </c>
      <c r="H134" t="str">
        <v>Canada</v>
      </c>
    </row>
    <row r="136" spans="1:8" x14ac:dyDescent="0.45">
      <c r="A136" t="str" cm="1">
        <f t="array" ref="A136:B141">_xlfn._xlws.PY(20,0)</f>
        <v>country</v>
      </c>
      <c r="B136" t="str">
        <v>count</v>
      </c>
    </row>
    <row r="137" spans="1:8" x14ac:dyDescent="0.45">
      <c r="A137" t="str">
        <v>United States</v>
      </c>
      <c r="B137">
        <v>77</v>
      </c>
    </row>
    <row r="138" spans="1:8" x14ac:dyDescent="0.45">
      <c r="A138" t="str">
        <v>Germany</v>
      </c>
      <c r="B138">
        <v>43</v>
      </c>
    </row>
    <row r="139" spans="1:8" x14ac:dyDescent="0.45">
      <c r="A139" t="str">
        <v>United Kingdom</v>
      </c>
      <c r="B139">
        <v>39</v>
      </c>
    </row>
    <row r="140" spans="1:8" x14ac:dyDescent="0.45">
      <c r="A140" t="str">
        <v>Canada</v>
      </c>
      <c r="B140">
        <v>26</v>
      </c>
    </row>
    <row r="141" spans="1:8" x14ac:dyDescent="0.45">
      <c r="A141" t="str">
        <v>Australia</v>
      </c>
      <c r="B141">
        <v>15</v>
      </c>
    </row>
    <row r="144" spans="1:8" x14ac:dyDescent="0.45">
      <c r="A144" t="str" cm="1">
        <f t="array" ref="A144:B147">_xlfn._xlws.PY(21,0)</f>
        <v>category</v>
      </c>
      <c r="B144" t="str">
        <v>proportion</v>
      </c>
    </row>
    <row r="145" spans="1:2" x14ac:dyDescent="0.45">
      <c r="A145" t="str">
        <v>Office Supplies</v>
      </c>
      <c r="B145">
        <v>0.4</v>
      </c>
    </row>
    <row r="146" spans="1:2" x14ac:dyDescent="0.45">
      <c r="A146" t="str">
        <v>Electronics</v>
      </c>
      <c r="B146">
        <v>0.32500000000000001</v>
      </c>
    </row>
    <row r="147" spans="1:2" x14ac:dyDescent="0.45">
      <c r="A147" t="str">
        <v>Furniture</v>
      </c>
      <c r="B147">
        <v>0.27500000000000002</v>
      </c>
    </row>
    <row r="149" spans="1:2" x14ac:dyDescent="0.45">
      <c r="A149" t="str" cm="1">
        <f t="array" ref="A149:B154">_xlfn._xlws.PY(22,0)</f>
        <v>country</v>
      </c>
      <c r="B149" t="str">
        <v>unit_price</v>
      </c>
    </row>
    <row r="150" spans="1:2" x14ac:dyDescent="0.45">
      <c r="A150" t="str">
        <v>Australia</v>
      </c>
      <c r="B150">
        <v>167.16199999999998</v>
      </c>
    </row>
    <row r="151" spans="1:2" x14ac:dyDescent="0.45">
      <c r="A151" t="str">
        <v>Canada</v>
      </c>
      <c r="B151">
        <v>201.18230769230769</v>
      </c>
    </row>
    <row r="152" spans="1:2" x14ac:dyDescent="0.45">
      <c r="A152" t="str">
        <v>Germany</v>
      </c>
      <c r="B152">
        <v>182.58790697674419</v>
      </c>
    </row>
    <row r="153" spans="1:2" x14ac:dyDescent="0.45">
      <c r="A153" t="str">
        <v>United Kingdom</v>
      </c>
      <c r="B153">
        <v>274.43128205128204</v>
      </c>
    </row>
    <row r="154" spans="1:2" x14ac:dyDescent="0.45">
      <c r="A154" t="str">
        <v>United States</v>
      </c>
      <c r="B154">
        <v>209.05701298701297</v>
      </c>
    </row>
    <row r="156" spans="1:2" x14ac:dyDescent="0.45">
      <c r="A156" t="str" cm="1">
        <f t="array" ref="A156:B159">_xlfn._xlws.PY(23,0)</f>
        <v>category</v>
      </c>
      <c r="B156" t="str">
        <v>quantity</v>
      </c>
    </row>
    <row r="157" spans="1:2" x14ac:dyDescent="0.45">
      <c r="A157" t="str">
        <v>Electronics</v>
      </c>
      <c r="B157">
        <v>362</v>
      </c>
    </row>
    <row r="158" spans="1:2" x14ac:dyDescent="0.45">
      <c r="A158" t="str">
        <v>Furniture</v>
      </c>
      <c r="B158">
        <v>288</v>
      </c>
    </row>
    <row r="159" spans="1:2" x14ac:dyDescent="0.45">
      <c r="A159" t="str">
        <v>Office Supplies</v>
      </c>
      <c r="B159">
        <v>490</v>
      </c>
    </row>
    <row r="161" spans="1:3" x14ac:dyDescent="0.45">
      <c r="A161" t="str" cm="1">
        <f t="array" ref="A161:C176">_xlfn._xlws.PY(24,0)</f>
        <v>country</v>
      </c>
      <c r="B161" t="str">
        <v>category</v>
      </c>
      <c r="C161" t="str">
        <v>unit_price</v>
      </c>
    </row>
    <row r="162" spans="1:3" x14ac:dyDescent="0.45">
      <c r="A162" t="str">
        <v>Australia</v>
      </c>
      <c r="B162" t="str">
        <v>Electronics</v>
      </c>
      <c r="C162">
        <v>270.6516666666667</v>
      </c>
    </row>
    <row r="163" spans="1:3" x14ac:dyDescent="0.45">
      <c r="A163" t="str">
        <v>Australia</v>
      </c>
      <c r="B163" t="str">
        <v>Furniture</v>
      </c>
      <c r="C163">
        <v>256.68</v>
      </c>
    </row>
    <row r="164" spans="1:3" x14ac:dyDescent="0.45">
      <c r="A164" t="str">
        <v>Australia</v>
      </c>
      <c r="B164" t="str">
        <v>Office Supplies</v>
      </c>
      <c r="C164">
        <v>18.91333333333333</v>
      </c>
    </row>
    <row r="165" spans="1:3" x14ac:dyDescent="0.45">
      <c r="A165" t="str">
        <v>Canada</v>
      </c>
      <c r="B165" t="str">
        <v>Electronics</v>
      </c>
      <c r="C165">
        <v>274.04250000000002</v>
      </c>
    </row>
    <row r="166" spans="1:3" x14ac:dyDescent="0.45">
      <c r="A166" t="str">
        <v>Canada</v>
      </c>
      <c r="B166" t="str">
        <v>Furniture</v>
      </c>
      <c r="C166">
        <v>529.45000000000005</v>
      </c>
    </row>
    <row r="167" spans="1:3" x14ac:dyDescent="0.45">
      <c r="A167" t="str">
        <v>Canada</v>
      </c>
      <c r="B167" t="str">
        <v>Office Supplies</v>
      </c>
      <c r="C167">
        <v>30.088461538461541</v>
      </c>
    </row>
    <row r="168" spans="1:3" x14ac:dyDescent="0.45">
      <c r="A168" t="str">
        <v>Germany</v>
      </c>
      <c r="B168" t="str">
        <v>Electronics</v>
      </c>
      <c r="C168">
        <v>230.67818181818183</v>
      </c>
    </row>
    <row r="169" spans="1:3" x14ac:dyDescent="0.45">
      <c r="A169" t="str">
        <v>Germany</v>
      </c>
      <c r="B169" t="str">
        <v>Furniture</v>
      </c>
      <c r="C169">
        <v>350.0864285714286</v>
      </c>
    </row>
    <row r="170" spans="1:3" x14ac:dyDescent="0.45">
      <c r="A170" t="str">
        <v>Germany</v>
      </c>
      <c r="B170" t="str">
        <v>Office Supplies</v>
      </c>
      <c r="C170">
        <v>22.922777777777778</v>
      </c>
    </row>
    <row r="171" spans="1:3" x14ac:dyDescent="0.45">
      <c r="A171" t="str">
        <v>United Kingdom</v>
      </c>
      <c r="B171" t="str">
        <v>Electronics</v>
      </c>
      <c r="C171">
        <v>272.95764705882351</v>
      </c>
    </row>
    <row r="172" spans="1:3" x14ac:dyDescent="0.45">
      <c r="A172" t="str">
        <v>United Kingdom</v>
      </c>
      <c r="B172" t="str">
        <v>Furniture</v>
      </c>
      <c r="C172">
        <v>529.8054545454545</v>
      </c>
    </row>
    <row r="173" spans="1:3" x14ac:dyDescent="0.45">
      <c r="A173" t="str">
        <v>United Kingdom</v>
      </c>
      <c r="B173" t="str">
        <v>Office Supplies</v>
      </c>
      <c r="C173">
        <v>21.334545454545456</v>
      </c>
    </row>
    <row r="174" spans="1:3" x14ac:dyDescent="0.45">
      <c r="A174" t="str">
        <v>United States</v>
      </c>
      <c r="B174" t="str">
        <v>Electronics</v>
      </c>
      <c r="C174">
        <v>296.6995652173913</v>
      </c>
    </row>
    <row r="175" spans="1:3" x14ac:dyDescent="0.45">
      <c r="A175" t="str">
        <v>United States</v>
      </c>
      <c r="B175" t="str">
        <v>Furniture</v>
      </c>
      <c r="C175">
        <v>383.92954545454546</v>
      </c>
    </row>
    <row r="176" spans="1:3" x14ac:dyDescent="0.45">
      <c r="A176" t="str">
        <v>United States</v>
      </c>
      <c r="B176" t="str">
        <v>Office Supplies</v>
      </c>
      <c r="C176">
        <v>25.839062500000001</v>
      </c>
    </row>
    <row r="178" spans="1:4" x14ac:dyDescent="0.45">
      <c r="A178" t="str" cm="1">
        <f t="array" ref="A178:D184">_xlfn._xlws.PY(25,0)</f>
        <v/>
      </c>
      <c r="B178" t="str">
        <v>mean</v>
      </c>
      <c r="C178" t="str">
        <v>min</v>
      </c>
      <c r="D178" t="str">
        <v>max</v>
      </c>
    </row>
    <row r="179" spans="1:4" x14ac:dyDescent="0.45">
      <c r="A179" t="str">
        <v>country</v>
      </c>
      <c r="B179" t="str">
        <v/>
      </c>
      <c r="C179" t="str">
        <v/>
      </c>
      <c r="D179" t="str">
        <v/>
      </c>
    </row>
    <row r="180" spans="1:4" x14ac:dyDescent="0.45">
      <c r="A180" t="str">
        <v>Australia</v>
      </c>
      <c r="B180">
        <v>167.16199999999998</v>
      </c>
      <c r="C180">
        <v>2.17</v>
      </c>
      <c r="D180">
        <v>486.65</v>
      </c>
    </row>
    <row r="181" spans="1:4" x14ac:dyDescent="0.45">
      <c r="A181" t="str">
        <v>Canada</v>
      </c>
      <c r="B181">
        <v>201.18230769230769</v>
      </c>
      <c r="C181">
        <v>2.2799999999999998</v>
      </c>
      <c r="D181">
        <v>732.96</v>
      </c>
    </row>
    <row r="182" spans="1:4" x14ac:dyDescent="0.45">
      <c r="A182" t="str">
        <v>Germany</v>
      </c>
      <c r="B182">
        <v>182.58790697674419</v>
      </c>
      <c r="C182">
        <v>3.72</v>
      </c>
      <c r="D182">
        <v>754.29</v>
      </c>
    </row>
    <row r="183" spans="1:4" x14ac:dyDescent="0.45">
      <c r="A183" t="str">
        <v>United Kingdom</v>
      </c>
      <c r="B183">
        <v>274.43128205128204</v>
      </c>
      <c r="C183">
        <v>7.32</v>
      </c>
      <c r="D183">
        <v>689.59</v>
      </c>
    </row>
    <row r="184" spans="1:4" x14ac:dyDescent="0.45">
      <c r="A184" t="str">
        <v>United States</v>
      </c>
      <c r="B184">
        <v>209.05701298701297</v>
      </c>
      <c r="C184">
        <v>2.4900000000000002</v>
      </c>
      <c r="D184">
        <v>760.69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nyc</vt:lpstr>
      <vt:lpstr>sales</vt:lpstr>
      <vt:lpstr>sales_analysis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George Mount</cp:lastModifiedBy>
  <dcterms:created xsi:type="dcterms:W3CDTF">2026-04-03T18:59:50Z</dcterms:created>
  <dcterms:modified xsi:type="dcterms:W3CDTF">2026-09-22T16:21:49Z</dcterms:modified>
</cp:coreProperties>
</file>