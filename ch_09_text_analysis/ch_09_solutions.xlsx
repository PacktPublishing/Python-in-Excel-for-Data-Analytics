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3"/>
  <workbookPr/>
  <mc:AlternateContent xmlns:mc="http://schemas.openxmlformats.org/markup-compatibility/2006">
    <mc:Choice Requires="x15">
      <x15ac:absPath xmlns:x15ac="http://schemas.microsoft.com/office/spreadsheetml/2010/11/ac" url="C:\Users\GeorgeMount\Documents\GitHub\Python-in-Excel-for-Data-Analytics\ch_09_text_analysis\"/>
    </mc:Choice>
  </mc:AlternateContent>
  <xr:revisionPtr revIDLastSave="0" documentId="13_ncr:10000001_{853AA600-E78D-4F80-8891-FF9ECF63B8F3}" xr6:coauthVersionLast="47" xr6:coauthVersionMax="47" xr10:uidLastSave="{00000000-0000-0000-0000-000000000000}"/>
  <bookViews>
    <workbookView xWindow="-98" yWindow="-98" windowWidth="18915" windowHeight="12676" activeTab="1" xr2:uid="{00000000-000D-0000-FFFF-FFFF00000000}"/>
  </bookViews>
  <sheets>
    <sheet name="reviews" sheetId="1" r:id="rId1"/>
    <sheet name="reviews_analysis" sheetId="2"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a="1"/>
  <c r="A9" i="2" s="1" a="1"/>
  <c r="A14" i="2" s="1" a="1"/>
  <c r="A27" i="2" s="1" a="1"/>
  <c r="A39" i="2" a="1"/>
  <c r="A55" i="2" l="1" a="1"/>
  <c r="A68" i="2" s="1" a="1"/>
  <c r="A80" i="2" s="1" a="1"/>
  <c r="A84" i="2" s="1" a="1"/>
  <c r="A133" i="2" s="1" a="1"/>
  <c r="A146" i="2" s="1" a="1"/>
  <c r="A167" i="2" l="1" a="1"/>
  <c r="A193" i="2" l="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7">
    <bk>
      <extLst>
        <ext uri="{3e2802c4-a4d2-4d8b-9148-e3be6c30e623}">
          <xlrd:rvb i="0"/>
        </ext>
      </extLst>
    </bk>
    <bk>
      <extLst>
        <ext uri="{3e2802c4-a4d2-4d8b-9148-e3be6c30e623}">
          <xlrd:rvb i="1"/>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futureMetadata>
  <cellMetadata count="1">
    <bk>
      <rc t="1" v="0"/>
    </bk>
  </cellMetadata>
  <valueMetadata count="7">
    <bk>
      <rc t="2" v="0"/>
    </bk>
    <bk>
      <rc t="2" v="1"/>
    </bk>
    <bk>
      <rc t="2" v="2"/>
    </bk>
    <bk>
      <rc t="2" v="3"/>
    </bk>
    <bk>
      <rc t="2" v="4"/>
    </bk>
    <bk>
      <rc t="2" v="5"/>
    </bk>
    <bk>
      <rc t="2" v="6"/>
    </bk>
  </valueMetadata>
</metadata>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reviews_df = xl(%P2%, headers=True)
reviews_df.head()</code>
    </pythonScript>
    <pythonScript>
      <code># Create a cleaned version of the review text
reviews_df["review_clean"] = reviews_df["review"].str.lower().str.strip()
# Preview original vs cleaned reviews
reviews_df[["review", "review_clean"]].head(3)</code>
    </pythonScript>
    <pythonScript>
      <code>from nltk.sentiment.vader import SentimentIntensityAnalyzer
sid = SentimentIntensityAnalyzer()
# Score each review and extract compound sentiment
scores = reviews_df["review_clean"].apply(sid.polarity_scores)
reviews_df["compound"] = scores.apply(lambda x: x["compound"])
# Classify sentiment
reviews_df["sentiment"] = "neutral"
reviews_df.loc[reviews_df["compound"] &gt;= 0.05, "sentiment"] = "positive"
reviews_df.loc[reviews_df["compound"] &lt;= -0.05, "sentiment"] = "negative"
# Preview results
reviews_df[["review_clean", "compound", "sentiment"]].head()</code>
    </pythonScript>
    <pythonScript>
      <code>plt.figure(figsize=(8, 5))
sns.countplot(
    data=reviews_df,
    x="sentiment",
    order=["positive", "neutral", "negative"],
    color="steelblue",
    edgecolor="black"
)
plt.xlabel("Sentiment", fontsize=11)
plt.ylabel("Number of Reviews", fontsize=11)
plt.title("Sentiment Distribution Across All Reviews", fontsize=13)
plt.tick_params(labelsize=10)</code>
    </pythonScript>
    <pythonScript>
      <code>plt.figure(figsize=(8, 5))
sns.boxplot(data=reviews_df, x="rating", y="compound", color="steelblue")
plt.xlabel("Star Rating"); plt.ylabel("VADER Compound Score")
plt.title("Sentiment Score by Star Rating")</code>
    </pythonScript>
    <pythonScript>
      <code>from nltk.corpus import stopwords
import re
import pandas as pd
# Load stopwords
stop_words = set(stopwords.words("english"))
# Tokenization function (limit to first 10 tokens)
def tokenize(text):
    words = re.findall(r"[a-z]+", text)
    tokens = [w for w in words if len(w) &gt;= 3 and w not in stop_words]
    return tokens[:10]
# Apply tokenization
reviews_df["tokens"] = reviews_df["review_clean"].apply(tokenize)
# View first row of tokens
pd.DataFrame(reviews_df["tokens"].iloc[0], columns=["tokens"])</code>
    </pythonScript>
    <pythonScript>
      <code>from collections import Counter
all_words = [word for tokens in reviews_df["tokens"] for word in tokens]
word_counts = Counter(all_words)
top_20 = pd.DataFrame(
    word_counts.most_common(10),
    columns=["word", "count"]
)</code>
    </pythonScript>
    <pythonScript>
      <code># Flatten tokens by sentiment
pos_words = [w for t in reviews_df.loc[reviews_df["sentiment"] == "positive", "tokens"] for w in t]
neg_words = [w for t in reviews_df.loc[reviews_df["sentiment"] == "negative", "tokens"] for w in t]
# Top 15 words
pos_top = pd.DataFrame(Counter(pos_words).most_common(15), columns=["word", "count"])
neg_top = pd.DataFrame(Counter(neg_words).most_common(15), columns=["word", "count"])</code>
    </pythonScript>
    <pythonScript>
      <code>fig, axes = plt.subplots(2, 1, figsize=(8, 10))
sns.barplot(
    data=pos_top,
    x="count",
    y="word",
    color="steelblue",
    ax=axes[0]
)
axes[0].set_title("Top Words in Positive Reviews")
axes[0].set_xlabel("Count")
sns.barplot(
    data=neg_top,
    x="count",
    y="word",
    color="coral",
    ax=axes[1]
)
axes[1].set_title("Top Words in Negative Reviews")
axes[1].set_xlabel("Count")
plt.tight_layout()</code>
    </pythonScript>
    <pythonScript>
      <code>from sklearn.feature_extraction.text import TfidfVectorizer
# TF-IDF with top 10 terms
tfidf = TfidfVectorizer(max_features=10, stop_words="english")
tfidf_matrix = tfidf.fit_transform(reviews_df["review_clean"])
# Average TF-IDF scores across all documents
tfidf_df = pd.DataFrame({
    "term": tfidf.get_feature_names_out(),
    "tfidf_score": tfidf_matrix.mean(axis=0).A1
}).sort_values("tfidf_score", ascending=False)
tfidf_df</code>
    </pythonScript>
    <pythonScript>
      <code>plt.figure(figsize=(10, 6))
sns.barplot(data=tfidf_df, x="tfidf_score", y="term", color="steelblue")
plt.xlabel("Average TF-IDF Score")
plt.ylabel("Term")
plt.title("Most Important Terms by TF-IDF")</code>
    </pythonScript>
    <pythonScript>
      <code>from wordcloud import WordCloud
all_text = " ".join(reviews_df["review_clean"])
wc = WordCloud(
    width=800, height=400,
    background_color="white",
    colormap="Blues"
).generate(all_text)
plt.figure(figsize=(10, 5))
plt.imshow(wc, interpolation="bilinear")
plt.axis("off")
plt.title("Word Cloud of All Reviews")</code>
    </pythonScript>
    <pythonScript>
      <code>plt.figure(figsize=(10, 5))
sns.boxplot(data=reviews_df, x="product_category", y="compound",
            color="steelblue")
plt.xlabel("Product Category")
plt.title("Sentiment Distribution by Product Category")</code>
    </pythonScript>
  </pythonScripts>
</python>
</file>

<file path=xl/sharedStrings.xml><?xml version="1.0" encoding="utf-8"?>
<sst xmlns="http://schemas.openxmlformats.org/spreadsheetml/2006/main" count="811" uniqueCount="325">
  <si>
    <t>product_category</t>
  </si>
  <si>
    <t>product_name</t>
  </si>
  <si>
    <t>rating</t>
  </si>
  <si>
    <t>review</t>
  </si>
  <si>
    <t>Electronics</t>
  </si>
  <si>
    <t>Adjustable Laptop Stand</t>
  </si>
  <si>
    <t>Wonderfull purchase. My neck pain from working at a laptop all day disappeared within a week of using this stand. The aluminum construction feels solid and the hinge holds any angle I set it to without drifting. Folds flat for travel.</t>
  </si>
  <si>
    <t>Clothing</t>
  </si>
  <si>
    <t>Waterproof Rain Jacket</t>
  </si>
  <si>
    <t>The jacket is water resistant at best, not waterproof as advertised. During a steady rain I got damp underneath within about 20 minutes. Fine for a quick dash to the car but not for extended outdoor use.</t>
  </si>
  <si>
    <t>Home</t>
  </si>
  <si>
    <t>Soy Wax Scented Candle</t>
  </si>
  <si>
    <t>Lovely candle. The scent throw is good — I can smell it from the next room when it's been burning for a while. My only complaint is that the jar gets quite hot so I have to be careful where I place it.</t>
  </si>
  <si>
    <t>Travel Backpack</t>
  </si>
  <si>
    <t>Speical backpack. Fits a ton of stuff for its size and the organization pockets are genuinely useful — I can find everything without digging. The laptop sleeve is padded enough to feel safe and the straps distribute weight evenly.</t>
  </si>
  <si>
    <t>Merino Wool Hiking Socks</t>
  </si>
  <si>
    <t>Comfortable on long hikes. I haven't had any hot spots or blisters. They do take a while to dry if they get fully wet though.</t>
  </si>
  <si>
    <t>Absolutly the best hiking socks I've found. No blisters on a 15 mile hike and my feet stayed dry despite sweating. The cushioning in the heel and ball of the foot is exactly where I need it. Worth every penny.</t>
  </si>
  <si>
    <t>Mechanical Keyboard</t>
  </si>
  <si>
    <t>The space bar stopped working entirely after three weeks. A keyboard where you can't press space is useless. Sending it back.</t>
  </si>
  <si>
    <t>Kitchen</t>
  </si>
  <si>
    <t>5-Quart Air Fryer</t>
  </si>
  <si>
    <t>Broken within a month. The heating element stopped working and the fan still spins but everything comes out cold. Customer service offered a replacement but getting it took over three weeks. Not worth the hassle.</t>
  </si>
  <si>
    <t>8-Piece Kitchen Knife Set</t>
  </si>
  <si>
    <t>The knives hold their edge well if you hand wash them. I tried the dishwasher once against the instructions and you can tell the difference. Lesson learned.</t>
  </si>
  <si>
    <t>Waterproof Shower Curtain</t>
  </si>
  <si>
    <t>Best shower curtain I've had. Doesn't cling to you when you shower, resists mildew, and looks nice. The weighted hem keeps it in place even with a fan running.</t>
  </si>
  <si>
    <t>Modern Silent Wall Clock</t>
  </si>
  <si>
    <t>Actually silent. I have it in my home office and it doesn't distract me during video calls. The design is minimalist and works with any decor.</t>
  </si>
  <si>
    <t>Moisture-Wicking Workout Shirt</t>
  </si>
  <si>
    <t>The shirt does wick moisture but develops a funk if not washed immediately after workouts. Other workout shirts I've had don't have this problem.</t>
  </si>
  <si>
    <t>Nonstick Frying Pan</t>
  </si>
  <si>
    <t>Works well for now but I'm skeptical about long-term durability based on past experience with nonstick pans. Currently cooking everything from eggs to stir-fries without sticking.</t>
  </si>
  <si>
    <t>Absolutly terrible. The candle has almost no scent even when burning. I opened a second one thinking the first was defective and it was the same. Returning both.</t>
  </si>
  <si>
    <t>Slim Fit Stretch Jeans</t>
  </si>
  <si>
    <t>These are my new favorite jeans. Comfortable enough to wear all day and they look sharp enough for the office. Bought a second pair in a different wash.</t>
  </si>
  <si>
    <t>Keeps me dry in the rain and packs down small enough to fit in my day bag. The pit zips are a feature I didn't know I needed until I had them.</t>
  </si>
  <si>
    <t>It does its job but the color is slightly different from the online photo. Close enough that it still works with my bathroom but not a perfect match.</t>
  </si>
  <si>
    <t>Wonderfull workout shirt. The fabric wicks sweat effectively and dries quickly between wears. The fit is athletic without being tight.</t>
  </si>
  <si>
    <t>Trail Running Shoes</t>
  </si>
  <si>
    <t>These running shoes are the best I've owned. The cushioning absorbs impact without feeling squishy, the tread grips both dry trails and wet roads, and they broke in comfortably within the first few miles. Wonderfull shoes.</t>
  </si>
  <si>
    <t>Stand Mixer with Bowl</t>
  </si>
  <si>
    <t>Great mixer. The bowl capacity is generous and the speeds are well differentiated — you actually feel the difference between 3 and 5. Wish it came with a pouring shield because ingredients sometimes fly out at higher speeds.</t>
  </si>
  <si>
    <t>Polarized Sunglasses</t>
  </si>
  <si>
    <t>The frame broke at the hinge after about a month of normal use. I was just putting them on my head when I heard a crack. Quality doesn't match the price.</t>
  </si>
  <si>
    <t>Comfortable out of the box with no break-in period needed. The traction has been great on muddy trails and I haven't slipped even on steep downhills.</t>
  </si>
  <si>
    <t>12-Cup Programmable Coffee Maker</t>
  </si>
  <si>
    <t>Best coffee maker I've owned. The programmable timer means I wake up to fresh coffee every morning, the thermal carafe keeps it hot for hours without that burnt-pot taste, and the build quality feels substantial. Worth every penny.</t>
  </si>
  <si>
    <t>Really happy with this. The temperature is accurate (I checked with a thermometer) and the timer is precise. My only gripe is that the basket release button sticks occasionally and I have to jiggle it to open.</t>
  </si>
  <si>
    <t>Bamboo Bed Sheet Set</t>
  </si>
  <si>
    <t>My favorite sheets. Cool in summer, warm in winter, and they have not pilled or faded despite weekly washing. Worth the investment.</t>
  </si>
  <si>
    <t>Portable Bluetooth Speaker</t>
  </si>
  <si>
    <t>Really happy with this purchase. Sound quality is excellent for the size. The only reason I'm not giving five stars is that the volume buttons are a little stiff and hard to press without looking at them.</t>
  </si>
  <si>
    <t>Fast Wireless Charging Pad</t>
  </si>
  <si>
    <t>Mixed feelings about this phone charger. Some days it charges fine, other days it refuses to recognize my phone unless I line it up perfectly. Not reliable enough to recommend. I ended up going back to a wired cable.</t>
  </si>
  <si>
    <t>Wireless Earbuds Pro</t>
  </si>
  <si>
    <t>They do the job. Sound is average, fit is average, battery life is average. If you want something specific they probably aren't it but for general use they work.</t>
  </si>
  <si>
    <t>Save your money. This running shoes is not worth the price. The tread wore down surprisingly quickly and now they slip on wet pavement. The fit was also narrower than I expected.</t>
  </si>
  <si>
    <t>Fitness Smart Watch</t>
  </si>
  <si>
    <t>I've been wearing this watch for three months now and I'm impressed with how accurately it tracks my workouts. Heart rate readings match my chest strap during runs, sleep tracking gives useful insights, and the battery lasts a full week between charges.</t>
  </si>
  <si>
    <t>Brillant jacket. Light enough to stuff into a backpack but actually waterproof, not just water resistant. The seams are taped and I haven't had any leaks even in heavy rain. Highly recommend for outdoor activities.</t>
  </si>
  <si>
    <t>Personal Smoothie Blender</t>
  </si>
  <si>
    <t>Does what it's supposed to. I make a smoothie every morning and this handles banana, berries, spinach, and protein powder with no complaints. The motor has been reliable.</t>
  </si>
  <si>
    <t>Touchscreen Winter Gloves</t>
  </si>
  <si>
    <t>Not warm enough for actual winter weather. Fine for fall or mild days but my fingers got cold within minutes in freezing temperatures.</t>
  </si>
  <si>
    <t>27-Inch Monitor</t>
  </si>
  <si>
    <t>Picture quality is fine but there's some backlight bleeding visible in dark scenes. Not enough to be a dealbreaker but noticeable if you watch movies in a dark room.</t>
  </si>
  <si>
    <t>Switched to this mechanical keyboard from a cheap membrane one and my typing has improved noticeably. The tactile feedback is satisfying and the key switches feel consistent. Backlight is bright enough to use in a dark room without being distracting.</t>
  </si>
  <si>
    <t>Horrble quality. Mine stopped working after three weeks. The right bud refuses to charge no matter what I do. Customer support was unresponsive and never replied to my emails. Absolute waste of money.</t>
  </si>
  <si>
    <t>The jeans are okay but the stretch stopped bouncing back after a few wears — they started to bag out in the knees. Still wearable but they look a little sloppy by the end of the day.</t>
  </si>
  <si>
    <t>Good little blender for smoothies and protein shakes. Blends frozen fruit without much trouble and the portable cups are convenient for taking my breakfast with me. Easy to clean since the blades twist right off.</t>
  </si>
  <si>
    <t>Good jeans. Fit true to size and the length worked for me without needing alterations. The pockets are actually functional — deep enough to hold a phone.</t>
  </si>
  <si>
    <t>Really good jeans for the price. The stretch makes them comfortable for sitting all day at work and the fit is flattering without being too tight. Wash well and the color hasn't faded after multiple launderings.</t>
  </si>
  <si>
    <t>Excellent fitness watch. The GPS locks on quickly when I start a run and the maps in the app afterward are accurate to within a few feet. The screen is readable in bright sunlight and the touch response is snappy.</t>
  </si>
  <si>
    <t>Organic Cotton T-Shirt</t>
  </si>
  <si>
    <t>The shirt is fine. Comfortable to wear but the neckline stretched out after the first few washes. Still wearable for around the house but I wouldn't wear it to work now.</t>
  </si>
  <si>
    <t>The speaker sounds good indoors but there's a noticeable hiss when no music is playing. I can only hear it in a quiet room but once you notice it, you can't unnotice it.</t>
  </si>
  <si>
    <t>This wireless charger is exactly what I needed. It charges my phone noticeably faster than the older one I had, and the built-in cooling fan keeps things from getting hot. The rubber surface grips the phone well so it doesn't slide around.</t>
  </si>
  <si>
    <t>This candle is a new favorite in my house. The scent is strong enough to fill the room without being overwhelming, and it burns evenly without tunneling. I've had mine lit for hours at a time and the wax pool goes all the way to the edges.</t>
  </si>
  <si>
    <t>6-Inch E-Reader</t>
  </si>
  <si>
    <t>Great e-reader. Lightweight, long battery, and the screen looks like paper. The interface is a little clunky but once you've downloaded books it just works.</t>
  </si>
  <si>
    <t>Ceramic Plant Pot Set</t>
  </si>
  <si>
    <t>One of the pots arrived cracked and the seller didn't respond to my replacement request. The other two are fine but I can't use the broken one.</t>
  </si>
  <si>
    <t>I cook dinner in this thing almost every night now. Salmon comes out flaky, vegetables roast perfectly, and cleanup takes two minutes. My oven has been collecting dust since I got this.</t>
  </si>
  <si>
    <t>Good quality sheets. Breathable, smooth, and the deep pocket on the fitted sheet accommodates my thick mattress topper. Slightly wrinkle-prone but a quick tumble dry on low fixes that.</t>
  </si>
  <si>
    <t>High-Waist Yoga Pants</t>
  </si>
  <si>
    <t>The pants look good but the fabric is thinner than expected and slightly see-through when stretched. Not suitable for anything more than light lounging.</t>
  </si>
  <si>
    <t>7-Port USB-C Hub</t>
  </si>
  <si>
    <t>Good hub overall. I docked one star because after about an hour of heavy use it gets quite warm to the touch. Not dangerously hot but noticeable. Functionality is all there and I haven't had any data issues.</t>
  </si>
  <si>
    <t>Comfortable and durable.</t>
  </si>
  <si>
    <t>Bamboo Cutting Board</t>
  </si>
  <si>
    <t>Good size and weight. It's thick enough that it doesn't warp or flex when I'm chopping hard vegetables. Washes clean easily.</t>
  </si>
  <si>
    <t>Area Rug</t>
  </si>
  <si>
    <t>Beautiful rug. The colors are rich and the pattern is more intricate in person than in photos. Soft underfoot and it hasn't shed despite a month of use in a high-traffic area.</t>
  </si>
  <si>
    <t>Decent jacket but the waterproofing started failing on the shoulders after a few months of regular use. I reapplied DWR spray which helped but I didn't expect to need to do that this soon.</t>
  </si>
  <si>
    <t>It works. The stand is stable enough and the height is adjustable. However the finish scratches easily — mine already has several visible marks after a month. Cosmetic issue only but something to be aware of.</t>
  </si>
  <si>
    <t>Great for succulents and small houseplants. The drainage is adequate and the saucers are the right depth to catch runoff without overflowing.</t>
  </si>
  <si>
    <t>Good winter gloves. Warm enough for temperatures in the 20s and the touchscreen fingertips actually work reliably with my phone. Fit is slim so I can still type with them on.</t>
  </si>
  <si>
    <t>Blackout Curtains</t>
  </si>
  <si>
    <t>They're called blackout but a fair amount of light still comes through at the edges. Better than regular curtains but not completely dark.</t>
  </si>
  <si>
    <t>Storage Bins Set</t>
  </si>
  <si>
    <t>Good storage bins. Clear sides mean I can see what's inside without opening them. Stack well and hold a lot for their footprint.</t>
  </si>
  <si>
    <t>It works but I expected more based on the reviews. The SD card slot is in an awkward position and my cards stick out at an angle that feels precarious. The HDMI output also flickers occasionally when I move the hub.</t>
  </si>
  <si>
    <t>Chunky Knit Throw Blanket</t>
  </si>
  <si>
    <t>Disappointed with the quality. Snags appeared on the surface within the first week just from normal use. The fibers are more delicate than the description implied. Not suitable for everyday use if you have pets.</t>
  </si>
  <si>
    <t>Died after three weeks.</t>
  </si>
  <si>
    <t>Decent speaker but not as loud as I was hoping for outdoor use. Indoors it's great, outside it struggles to fill a backyard. The bluetooth range is also shorter than advertised — I lose connection if I walk more than about 20 feet away.</t>
  </si>
  <si>
    <t>The cutting board is fine but started showing deep knife marks faster than I expected. Bamboo is supposed to be more durable but this one scores easily.</t>
  </si>
  <si>
    <t>Insulated Water Bottle</t>
  </si>
  <si>
    <t>Started leaking from the lid after a couple of weeks. The seal must have failed because now it drips whenever I tip it. For what I paid I expected better durability.</t>
  </si>
  <si>
    <t>Has some bugs but mostly works.</t>
  </si>
  <si>
    <t>I use these for my daily commute and they block out most of the subway noise. Battery has been consistent at around 7 hours of continuous use which is close to the advertised 8. Comfortable enough that I forget I'm wearing them.</t>
  </si>
  <si>
    <t>The scent is subtle and pleasant. Not overpowering which I appreciate. Burns cleanly with minimal soot on the jar.</t>
  </si>
  <si>
    <t>Really nice blanket. Warm without being too heavy and the weave is pretty enough that it doubles as decor when draped over the back of the couch. Took one star off because it sheds a little during the first few uses.</t>
  </si>
  <si>
    <t>Complete failure. Arrived DOA. None of the ports worked and the HDMI output never got a signal. Contacted the seller and they told me to try a different cable, which I did with the same result. Got a refund but wasted a week of my time.</t>
  </si>
  <si>
    <t>Wood Picture Frame Set</t>
  </si>
  <si>
    <t>Nice frames. Simple design that works with most photo styles. Easy to open from the back and the glass is clear without any distortion. The set includes multiple sizes.</t>
  </si>
  <si>
    <t>Electric Tea Kettle</t>
  </si>
  <si>
    <t>It works but the lid is awkward to open one-handed. I've had to set down whatever else I'm holding to fill it. Minor annoyance that adds up over time.</t>
  </si>
  <si>
    <t>Best rain jacket I've ever owned. I wore it through a downpour on a hiking trip and stayed completely dry. The hood has a built-in brim that keeps rain off my face and the pit zips let me regulate temperature when I'm working hard.</t>
  </si>
  <si>
    <t>LED Desk Lamp</t>
  </si>
  <si>
    <t>The lamp flickers intermittently even on the brightest setting. Tried a different outlet with no change. Going to exchange it.</t>
  </si>
  <si>
    <t>The clock stopped keeping accurate time after about a month. It's now running several minutes slow per day which makes it basically useless. Tried replacing the battery and it didn't help.</t>
  </si>
  <si>
    <t>Decent knives for beginners. They work but they're clearly not top quality — the edges dull faster than my old knives and I'm having to sharpen them more often. For occasional cooking they're fine.</t>
  </si>
  <si>
    <t>Cordless Stick Vacuum</t>
  </si>
  <si>
    <t>Brillant vacuum. Lightweight enough that I actually pick it up to clean up small messes instead of ignoring them. Battery lasts long enough to do my whole apartment on one charge and the suction is strong enough to pick up cat hair from carpet.</t>
  </si>
  <si>
    <t>Compact and gets the job done for my morning protein shake. Easy to rinse out after use.</t>
  </si>
  <si>
    <t>This air fryer has changed how I cook weeknight dinners. Chicken wings come out crispier than the deep fryer I used to use, frozen fries are ready in 12 minutes, and cleanup is just the basket which goes in the dishwasher. Wonderfull purchase.</t>
  </si>
  <si>
    <t>Sounds great for the size.</t>
  </si>
  <si>
    <t>Clean modern design that works with my decor. It arrived with a battery already installed and was running immediately. The second hand sweeps smoothly without the distracting tick of most clocks.</t>
  </si>
  <si>
    <t>Really nice rug for the price. Arrived rolled up tightly and took a couple days to fully lay flat. Looks great now and feels soft.</t>
  </si>
  <si>
    <t>Absolutly love these sheets. They get softer after each wash and the color has held up well after months of use. The pillowcases are generously sized and don't bunch up when I sleep.</t>
  </si>
  <si>
    <t>The frames arrived intact but the color is slightly different from the photos — more of a warm brown than the neutral tone shown online.</t>
  </si>
  <si>
    <t>Ran smaller than expected. I usually wear medium and the medium in this shirt is tight across the chest. The fabric itself is soft but the sizing is off.</t>
  </si>
  <si>
    <t>Good basic t-shirt. The fit is classic — not too tight, not too loose. The fabric is thicker than I expected which I appreciate because you can't see through it. True to size.</t>
  </si>
  <si>
    <t>Speical candle. The fragrance is exactly as described — warm and slightly sweet without being cloying. Burn time has been longer than I expected and the wick self-trims so I don't have to fuss with it.</t>
  </si>
  <si>
    <t>The texture is unbelievable. I wrap up in this while watching movies and it's warm without being suffocating. Gets so many compliments from guests.</t>
  </si>
  <si>
    <t>Horrble quality. The sole started separating from the upper after just a month. For what I paid I expected these to last at least a year of moderate use. Never buying this brand again.</t>
  </si>
  <si>
    <t>Horrble. The nonstick coating peeled off in flakes after about six weeks. Now I'm worried about what I've been eating. Returning and not buying this brand again.</t>
  </si>
  <si>
    <t>Smells incredible.</t>
  </si>
  <si>
    <t>Brillant polarized lenses. The glare reduction while driving is dramatic and the frames are comfortable for all-day wear. The case that comes with them is nice too.</t>
  </si>
  <si>
    <t>The notifications are clear and the battery lasts most of a week with standard use. I wear it running four times a week and the GPS has been accurate.</t>
  </si>
  <si>
    <t>Love them.</t>
  </si>
  <si>
    <t>Makes passable smoothies but I have to run it in pulses to get everything blended evenly. My old blender was more powerful.</t>
  </si>
  <si>
    <t>It's okay. Struggles with harder ingredients like frozen mango chunks unless I let them thaw first. For softer smoothies it works fine.</t>
  </si>
  <si>
    <t>Solid earbuds for the price. Sound quality is great and battery life matches the advertised 8 hours. One star off because the app is a little clunky and disconnects occasionally when switching between devices. Otherwise, very happy with the purchase.</t>
  </si>
  <si>
    <t>The blanket started falling apart after one wash despite following the care instructions exactly. Loose yarns everywhere and several holes developed. Waste of money.</t>
  </si>
  <si>
    <t>GAME CHANGER. SERIOUSLY.</t>
  </si>
  <si>
    <t>Really good hiking socks. Comfortable cushioning and the merino wool does regulate temperature well. Took a star off because one pair developed a small hole after about six months of regular use.</t>
  </si>
  <si>
    <t>The gloves are warm but the touchscreen feature stopped working on the index finger after a couple of weeks. I have to pull the glove partway off to use my phone which defeats the purpose.</t>
  </si>
  <si>
    <t>Horrble experience. Sheets arrived with a strong chemical smell that three washes couldn't remove. I ended up throwing them out because I couldn't sleep on them.</t>
  </si>
  <si>
    <t>The shoes are okay. Comfortable for the first 20 miles and then the midsole started to feel flat. I was expecting more support for longer runs given the price.</t>
  </si>
  <si>
    <t>Decent socks but expensive for what you get. They perform well but I'm not sure they're significantly better than cheaper synthetic alternatives I've tried.</t>
  </si>
  <si>
    <t>Great lamp for my home office. The arm adjusts smoothly and holds position. Light is even without harsh shadows on my workspace.</t>
  </si>
  <si>
    <t>Dish Drying Rack</t>
  </si>
  <si>
    <t>Solid dish rack. Rust-resistant coating has held up after months of daily use. The utensil holder is removable for cleaning which is a nice touch.</t>
  </si>
  <si>
    <t>It's fine. The blanket is soft and the color is accurate but it's smaller than I expected based on the listed dimensions. For one person it's perfect but it won't cover two people on a couch.</t>
  </si>
  <si>
    <t>Not waterproof at all. I got soaked through within ten minutes of light rain. Total false advertising. Returning it.</t>
  </si>
  <si>
    <t>Broke within two weeks. The screen developed a dead spot on the left side where touch stops working. Customer service took forever to respond and when they did they just sent me a form letter. Save your money.</t>
  </si>
  <si>
    <t>I read more books with this thing than I have in years. The ability to download books instantly and adjust font size has made reading more accessible than physical books for me.</t>
  </si>
  <si>
    <t>Wireless Gaming Mouse</t>
  </si>
  <si>
    <t>The mouse works fine but the software is confusing. Setting up macros took way longer than it should have and the UI looks dated.</t>
  </si>
  <si>
    <t>Boils water incredibly fast and the variable temperature settings are perfect for different teas. Green tea at 170 and black tea at 200 come out exactly as they should.</t>
  </si>
  <si>
    <t>Powerful and quiet.</t>
  </si>
  <si>
    <t>Leather Belt</t>
  </si>
  <si>
    <t>Good quality belt. The leather is genuine and has held up well. The buckle is solid and doesn't feel like it will come loose.</t>
  </si>
  <si>
    <t>Disappointed. The left bud cut out repeatedly during calls and my coworkers could barely hear me. I tried resetting them multiple times following the instructions. Returned them and got a different brand instead.</t>
  </si>
  <si>
    <t>The handles felt cheap and one of them actually cracked after about a month of normal use. The blades themselves are okay but I wouldn't trust this set for heavy duty prep work.</t>
  </si>
  <si>
    <t>Absolutly love these. I've worn them to yoga, to run errands, and lounging at home. They look good in every situation and the compression is comfortable without being restrictive.</t>
  </si>
  <si>
    <t>The rug is okay but sheds noticeably for the first few weeks. My vacuum was picking up loose fibers every time. It has slowed down now but that was annoying.</t>
  </si>
  <si>
    <t>The rug looked much better in the product photos. The colors are muted and it feels thinner than expected. Fine as a decorative piece but not what I wanted.</t>
  </si>
  <si>
    <t>It works but I've had better. The lid has a plastic ring inside that traps water and gets moldy if I don't dry it carefully after each use. Annoying maintenance step.</t>
  </si>
  <si>
    <t>Light and effective.</t>
  </si>
  <si>
    <t>Looks nice on the wall but the hands aren't quite straight — the minute hand tilts slightly and it bothers me every time I look at it. Functionally it works but the quality control seems off.</t>
  </si>
  <si>
    <t>Great jacket. Keeps me dry in rain and blocks wind well. The fit is slightly boxy but that's fine because it leaves room for layers underneath. Would buy again.</t>
  </si>
  <si>
    <t>The lamp works but the touch controls are finicky. Sometimes I have to tap the button multiple times to change settings. Brightness itself is good when it cooperates.</t>
  </si>
  <si>
    <t>Sturdy stand with a clean look. The adjustability is smooth and it holds positions without slipping. I use it with a 14 inch laptop which fits perfectly.</t>
  </si>
  <si>
    <t>Best ergonomic purchase I've made this year. The stand raises my screen to eye level and the open design lets air circulate so my laptop runs cooler. Rubber pads keep everything in place and there are no scratches on my MacBook after months of daily use.</t>
  </si>
  <si>
    <t>Terrible. Stopped working after two weeks. It won't charge anymore and the power button does nothing. For the price I expected it to last longer than a couple of weeks of normal use.</t>
  </si>
  <si>
    <t>HD Webcam with Microphone</t>
  </si>
  <si>
    <t>Huge upgrade from my laptop's built-in camera. The picture is sharp in 1080p and the auto-focus adjusts quickly when I lean forward or back. Microphone is decent for calls — not studio quality but much better than the built-in mic.</t>
  </si>
  <si>
    <t>Disappointed with the battery life. Advertised as lasting a week but I'm lucky to get three days between charges with normal use. Also the heart rate monitor seems to lag during intense workouts which makes the calorie tracking unreliable.</t>
  </si>
  <si>
    <t>The main zipper broke after two weeks of normal use. I can't even close the main compartment anymore which makes the bag useless. Contacted support with no reply.</t>
  </si>
  <si>
    <t>Stopped working after two months. The power light comes on but it won't heat water anymore. Tried all the troubleshooting steps in the manual with no luck. Returning it.</t>
  </si>
  <si>
    <t>The sheets pilled badly within two weeks of use. I've never had this problem with any other bedding and I wash everything the same way. Disappointed because the feel out of the package was promising.</t>
  </si>
  <si>
    <t>Good mouse. Tracks well on every surface I've tried including glass. The weight is customizable which let me dial in the feel I prefer.</t>
  </si>
  <si>
    <t>Keeps water cold all day. The paint has a few small chips from dropping it but it's still fully functional. Probably going to buy another one in a different color.</t>
  </si>
  <si>
    <t>Great air fryer. Cooks evenly and the digital display is easy to read. Subtracting one star because it is noticeably loud when running — not unbearable but you'll hear it from the next room.</t>
  </si>
  <si>
    <t>20000mAh Power Bank</t>
  </si>
  <si>
    <t>This power bank is a travel essential. Charges my phone about four times on one charge and has enough juice left over for my earbuds. The built-in cables mean I don't have to carry extras.</t>
  </si>
  <si>
    <t>Makes a consistent pot every time. I set it the night before and wake up to fresh coffee. The temperature is hot enough that it stays warm for an hour without reheating.</t>
  </si>
  <si>
    <t>Wool Beanie Hat</t>
  </si>
  <si>
    <t>The hat stretched out after a few wears and now it slides down over my eyes. Not sure if it was the material or if I got a defective one but I'm not happy with it.</t>
  </si>
  <si>
    <t>Good watch for the price. Notifications come through reliably and I can respond to texts with preset replies. The band that comes with it is comfortable. Wish the app had more integration options with third party fitness services.</t>
  </si>
  <si>
    <t>It's a belt. Does belt things. The leather is fine and the buckle works. Not much else to say.</t>
  </si>
  <si>
    <t>The bins are fine but the plastic is thinner than I expected. They work for light items but I wouldn't use them for anything heavy.</t>
  </si>
  <si>
    <t>These earbuds are absolutely wonderful. The noise cancellation is comparable to headphones costing three times as much, and the battery lasts through my entire workday plus the gym afterward. Pairing was instant on both my iPhone and my laptop. Highly recommend for anyone who takes calls throughout the day.</t>
  </si>
  <si>
    <t>Sturdy cutting board that doesn't slide around. The grooves around the edge catch juices which is a nice touch for cutting meat or juicy fruits. Easy to maintain with occasional mineral oil.</t>
  </si>
  <si>
    <t>The suction is weaker than my old corded vacuum and the battery only lasts about 15 minutes on the high setting. For a thorough clean I still have to use my old vacuum.</t>
  </si>
  <si>
    <t>It's a decent keyboard but nothing special for the price. Keys feel fine but I don't notice the dramatic improvement other reviewers describe. Build is solid though.</t>
  </si>
  <si>
    <t>It's a basic beanie. Warm enough for mild winter days. Nothing exceptional about it but it does what hats do.</t>
  </si>
  <si>
    <t>Great cordless vacuum. Switches easily from floor mode to handheld for the car and couch cushions. The dust bin empties without making a mess and the filter is washable.</t>
  </si>
  <si>
    <t>Average webcam. Picture quality is fine in good lighting but in low light it gets grainy fast. For work meetings during the day it's adequate. The included clip works on both my monitor and laptop.</t>
  </si>
  <si>
    <t>It mixes things. The motor is adequate for light batters but struggles with stiff bread dough and I can hear it laboring. For lighter tasks it's fine.</t>
  </si>
  <si>
    <t>Good value for a set of frames. They match each other which looks nice when you hang a gallery wall. The hanging hardware is already attached which saves time.</t>
  </si>
  <si>
    <t>Makes good coffee.</t>
  </si>
  <si>
    <t>FRUSTRATING EXPERIENCE. THE BLUETOOTH KEEPS DROPPING OUT EVERY FEW MINUTES EVEN WHEN MY PHONE IS RIGHT NEXT TO IT. I TRIED RESETTING IT AND RE-PAIRING MULTIPLE TIMES WITH NO LUCK. NOT WORTH THE HASSLE.</t>
  </si>
  <si>
    <t>Good shirt for the gym. Keeps me cool during intense workouts and doesn't hold odor like some synthetic materials.</t>
  </si>
  <si>
    <t>The coating started showing wear after a couple months of daily use. I've only used plastic and wooden utensils. For the price I expected better longevity.</t>
  </si>
  <si>
    <t>Nice watch. The material feels durable. Took one star off for the sleep tracking which seems unreliable — it keeps telling me I woke up several times during the night when I know I slept straight through.</t>
  </si>
  <si>
    <t>A few keys started double-registering after about a month. I followed the cleaning instructions but the problem persists. Annoying when you're trying to write.</t>
  </si>
  <si>
    <t>These are fine. The sound is okay, nothing special but nothing terrible either. Battery life is decent. I expected more given all the glowing reviews but honestly they are just average. If you need cheap earbuds they will do the job.</t>
  </si>
  <si>
    <t>Horrble fit. The sizing is way off — I ordered my usual size and they were too tight in the thighs and loose in the waist. The material is also thinner than I expected from the photos.</t>
  </si>
  <si>
    <t>Solid stand. Does exactly what it says. One small issue — the highest angle setting feels a bit wobbly when I type firmly, so I usually keep it on the middle setting which is fine for my needs.</t>
  </si>
  <si>
    <t>Took this speaker to the beach and it survived sand, saltwater splashes, and being dropped multiple times. Sound quality hasn't suffered at all. Genuinely rugged.</t>
  </si>
  <si>
    <t>Really nice keyboard. The layout took a few days to get used to but now I prefer it. The only complaint is that it's louder than my wife would like so I use it mostly when she's not around.</t>
  </si>
  <si>
    <t>Excellent socks. I've worn them for three-day backpacking trips and they don't smell even after sustained use. Dry quickly when washed and the fit is snug without being tight.</t>
  </si>
  <si>
    <t>Really impressed with this water bottle. Great design. Keeps ice cold for 24 hours as promised — I put ice in at breakfast and there's still some floating at dinner. The lid doesn't leak even when I toss it in my bag sideways.</t>
  </si>
  <si>
    <t>It's a hat. Works fine. I wish the wool was a little softer — it's scratchy enough that I wear a thin liner underneath.</t>
  </si>
  <si>
    <t>Wonderfull travel companion. Took it on a two-week trip as my only carry-on and it held everything I needed. The clamshell opening makes packing like a suitcase and the hidden passport pocket is a nice touch.</t>
  </si>
  <si>
    <t>Fleece Pullover</t>
  </si>
  <si>
    <t>Really comfortable pullover. The fit is relaxed without being too loose and the quarter zip lets me regulate temperature. Pockets are deep enough to hold my phone securely.</t>
  </si>
  <si>
    <t>Good power bank. Heavier than I expected but that's the tradeoff for the capacity. The LED display showing exact battery percentage is helpful for knowing when to recharge it.</t>
  </si>
  <si>
    <t>The blades dulled quickly and now I have to run it twice as long to get the same result. Also the rubber gasket on the lid came loose after a month of daily use.</t>
  </si>
  <si>
    <t>Excellent monitor. The colors are vibrant out of the box without needing calibration and the thin bezels make it look more expensive than it is. Great for both work and watching content.</t>
  </si>
  <si>
    <t>Good bottle. Keeps my water cold all day at work and fits in my car's cup holder. The mouth is a good compromise — wide enough for ice cubes but narrow enough to drink from without spilling.</t>
  </si>
  <si>
    <t>Mediocre. The temperature seems inconsistent — sometimes food comes out perfect and sometimes the same recipe burns on the edges while staying raw in the middle. I've tried rotating and shaking but the results are hit or miss.</t>
  </si>
  <si>
    <t>Does a decent job on hard floors. Struggles with pet hair on carpet — I have to go over the same spot multiple times. Good for quick cleanups but not my main vacuum.</t>
  </si>
  <si>
    <t>Kept me dry in a storm.</t>
  </si>
  <si>
    <t>Brillant design. The basket slides out smoothly, the non-stick coating has held up after dozens of uses, and it heats up faster than my oven. I've started using it for almost everything that used to go in the toaster oven.</t>
  </si>
  <si>
    <t>Soft, well-fitting, and the cotton feels premium compared to cheap t-shirts. I bought three in different colors and wear them regularly. They hold their shape after washing and haven't shrunk at all.</t>
  </si>
  <si>
    <t>My neck thanks me.</t>
  </si>
  <si>
    <t>Stopped working after less than a month. Now it just blinks red and won't charge anything. For a device that has one job, failing at that job is pretty bad. Avoid.</t>
  </si>
  <si>
    <t>It does what an e-reader should. Nothing exceptional but nothing wrong. I expected a more premium feel given the price but the plastic body is fine.</t>
  </si>
  <si>
    <t>The scroll wheel developed a click after about two months. Now every scroll feels like clicking which is distracting. Disappointing for the price.</t>
  </si>
  <si>
    <t>The candle smells great for the first twenty minutes and then the scent basically disappears. I've tried burning it in several different rooms with the same result. Not worth what I paid.</t>
  </si>
  <si>
    <t>Exceeded my expectations. The air fryer works fantastic and the capacity is generous enough to cook dinner for my family of four in one batch. The preset buttons for common foods take the guesswork out of cooking times.</t>
  </si>
  <si>
    <t>Speical dish rack. Holds a full load of dishes for two people without tipping over. The drain spout directs water straight into the sink so my counter stays dry.</t>
  </si>
  <si>
    <t>Solid coffee maker. It brews consistently and the coffee tastes good. The only downside is that the water reservoir is awkward to fill because it doesn't detach — you have to pour from a pitcher or bring the whole machine to the sink.</t>
  </si>
  <si>
    <t>The sheets are nice enough but the color faded noticeably after the third wash. I followed the care instructions exactly. For the price I expected the color to last longer.</t>
  </si>
  <si>
    <t>Works but charges slower than advertised. The 'fast charge' feature doesn't seem noticeably faster than a regular USB port. Capacity is as described.</t>
  </si>
  <si>
    <t>Comfortable basic tee.</t>
  </si>
  <si>
    <t>It works well but the nonstick coating started showing wear after about two months of daily use. I'm careful to use only silicone utensils so I expected it to last longer. Food still comes out fine though.</t>
  </si>
  <si>
    <t>They're okay I guess.</t>
  </si>
  <si>
    <t>It works for video calls. The image quality is acceptable in good lighting. Nothing to rave about but nothing to complain about either.</t>
  </si>
  <si>
    <t>good sound and comfortable fit. the ear tips that come in the box fit my ears well and they stay put even when I'm running. wish the case had wireless charging at this price point but thats a minor complaint.</t>
  </si>
  <si>
    <t>Absolutly the most comfortable running shoes I've ever worn. I've put over 100 miles on them so far and they show almost no wear. Fit is true to size and the toe box has enough room that I don't get hot spots on long runs.</t>
  </si>
  <si>
    <t>Absolutly love these knives. The balance is excellent and they hold an edge better than I expected at this price point. The block looks nice on my counter and it doesn't take up much space.</t>
  </si>
  <si>
    <t>Warm, comfortable, and the wool doesn't itch like cheaper hats. Fits my head without being too tight and the color is true to the photos. Perfect for winter commuting.</t>
  </si>
  <si>
    <t>The fleece is warm but started pilling after a couple of washes. Still wearable but it looks worn faster than I expected.</t>
  </si>
  <si>
    <t>Solid monitor. The stand is a little wobbly but the display itself is great. I use it for both photo editing and gaming and it handles both well.</t>
  </si>
  <si>
    <t>One frame arrived with a crack in the glass. The seller replaced it quickly but I shouldn't have needed to go through that process. Packaging was inadequate.</t>
  </si>
  <si>
    <t>The coffee maker works but the coffee tastes a little weak even on the strong setting. I had to use more grounds than I did with my old machine to get the strength I like. Not a dealbreaker but disappointing.</t>
  </si>
  <si>
    <t>The sound is fine but the fit is the issue for me. They keep falling out during walks, let alone runs. I tried all the included tip sizes and none of them stayed secure.</t>
  </si>
  <si>
    <t>Pleasant but the scent is lighter than I expected. You have to be pretty close to the candle to smell it even with it burning for an hour. The wax quality is good though and it burns cleanly.</t>
  </si>
  <si>
    <t>The stand is okay but much smaller than it looked in the photos. My 16 inch laptop barely fits and I'm nervous it's going to tip over. Would recommend measuring carefully before ordering.</t>
  </si>
  <si>
    <t>Measuring Cup Set</t>
  </si>
  <si>
    <t>These measuring cups nest perfectly and the markings are clearly etched so they won't wear off. Good weight and the handles are comfortable. Simple but well made.</t>
  </si>
  <si>
    <t>This speaker has exceeded every expectation I had. I took it camping last weekend and the battery lasted two full days of heavy use. The sound is shockingly full for something this small, and it's actually waterproof as advertised — I accidentally knocked it into the pool and it kept playing.</t>
  </si>
  <si>
    <t>Great air fryer but the instruction manual is awful. Had to look up everything on YouTube instead. Once I figured out how to use it, the results have been consistently good.</t>
  </si>
  <si>
    <t>Absolutly love the typing feel. The switches are crisp and responsive, and I can type faster than on any keyboard I've used before. The build is all metal and feels like it will last for years.</t>
  </si>
  <si>
    <t>The coating started chipping after a few weeks and now there's rust showing through. For a product whose main job is holding wet dishes, it should not rust this quickly.</t>
  </si>
  <si>
    <t>Disappointed. The shoes fit fine but the left one developed a squeak after about two weeks of use. I cannot for the life of me figure out where it's coming from and it's driving me crazy on runs.</t>
  </si>
  <si>
    <t>Wonderfull sheets. These are softer than any cotton sheets I've owned and they stay cool all night even in summer. The elastic on the fitted sheet is strong and doesn't pop off the mattress corners.</t>
  </si>
  <si>
    <t>Great wall clock for the price. Not perfect but keeps accurate time and is genuinely silent — I can't hear it ticking even when sitting right underneath it. The numbers are easy to read from across the room.</t>
  </si>
  <si>
    <t>Helpfull for organizing my closet. The bins are sturdy enough to hold heavy items and the lids stay on during stacking. Labels would be a nice addition.</t>
  </si>
  <si>
    <t>Best yoga pants I've owned. Squat-proof, stay in place during every pose, and the waistband doesn't roll down. The fabric is soft and feels high quality.</t>
  </si>
  <si>
    <t>The pots look nice but they're heavier than I expected, which makes repotting large plants a two-person job. Quality is fine otherwise.</t>
  </si>
  <si>
    <t>Brillant little speaker. I use it in my kitchen while cooking and the bass fills the whole room. Pairing to my phone took two seconds. The build feels rugged and the rubber grip means it won't slide off wet counters.</t>
  </si>
  <si>
    <t>Absolutly a lifesaver for my MacBook. I have my two external monitors, ethernet, keyboard, mouse, and an SD card reader all running through this hub simultaneously and it handles everything without breaking a sweat. No overheating, no dropped connections.</t>
  </si>
  <si>
    <t>Exceeded my expectations. Feels as solid as mixers costing twice as much. The motor is quiet for this category and the included attachments (whisk, paddle, dough hook) cover everything I need for home baking.</t>
  </si>
  <si>
    <t>Good shower curtain. The fabric is thick enough to block water from splashing out but thin enough to be easy to push aside.</t>
  </si>
  <si>
    <t>The straps dug into my shoulders even with a moderate load. The padding is thinner than it looks and doesn't distribute weight well. For short trips it's okay but not for daily commuting.</t>
  </si>
  <si>
    <t>Mediocre USB hub. Two of the ports stopped recognizing devices after about a month of use. I expected better given how many positive reviews this has. Probably going to return it and try something else.</t>
  </si>
  <si>
    <t>Works reliably for my phone and my earbuds case. I like that it has a small LED that dims at night so it doesn't light up my bedroom.</t>
  </si>
  <si>
    <t>Wonderfull blanket. The color matches the photos exactly and the texture feels luxurious. My cat has claimed it as her own and it still looks great after a month of her kneading it daily. Washes well too.</t>
  </si>
  <si>
    <t>Absolutly blackout. My bedroom is pitch black even on sunny mornings and I've been sleeping better because of it. The fabric is heavy without looking bulky.</t>
  </si>
  <si>
    <t>Good hat. Keeps my ears warm and the folded brim stays in place without needing to readjust. Slightly thinner than I expected but adequate for moderate cold.</t>
  </si>
  <si>
    <t>Good kettle. Boils quickly and shuts off automatically. The base rotates 360 degrees which makes it easy to pick up from any angle.</t>
  </si>
  <si>
    <t>Good yoga pants. The fit is flattering and the material is thick enough to be opaque. Only complaint is that they attract lint easily.</t>
  </si>
  <si>
    <t>Speical bottle. I take it hiking and the insulation really does keep water cold for a full day in summer heat. The powder-coated finish has held up well and hasn't chipped despite being tossed around in my backpack.</t>
  </si>
  <si>
    <t>Good starter set. The chef's knife and paring knife are the ones I use most and they perform well. The steak knives are a little lightweight compared to my expectations but they cut fine.</t>
  </si>
  <si>
    <t>Solid purchase. Comfortable for my long runs and the laces stay tied. The reflective strips on the back are a nice touch for early morning runs when it's still dark.</t>
  </si>
  <si>
    <t>Leaks from the bottom after a few uses. I noticed water pooling under the machine and traced it to a slow drip from somewhere near the heating element. The unit still makes coffee but I don't trust it.</t>
  </si>
  <si>
    <t>Standard measuring cups that do the job. Sturdy construction and the measurements seem accurate when I cross-checked with a scale.</t>
  </si>
  <si>
    <t>Handles cookie dough and cake batter without complaint. Gets a bit strained with heavy bread dough but still gets the job done if I don't overfill the bowl.</t>
  </si>
  <si>
    <t>The cups are fine but smaller than I expected. The one-cup measure is barely larger than the half-cup and it's easy to mix them up.</t>
  </si>
  <si>
    <t>Keeps my head warm during winter runs. Wicks sweat better than I expected from wool and doesn't get heavy when wet.</t>
  </si>
  <si>
    <t>Works exactly as described. 4K output on both HDMI ports at 60Hz, fast data transfer on the USB 3.0 ports, and passthrough charging means I never have to unplug anything. Build quality feels premium and it doesn't move around on my desk.</t>
  </si>
  <si>
    <t>Wonderfull device for reading. The screen is easy on the eyes and I can read for hours without fatigue. Battery lasts weeks between charges and the built-in light has adjustable warmth for nighttime reading.</t>
  </si>
  <si>
    <t>Good curtains. Block most of the light and reduce outside noise noticeably. The grommets on the top make them easy to hang on a standard rod.</t>
  </si>
  <si>
    <t>Really good pan. The nonstick coating has held up well and the even heat distribution means no hot spots. Wish it was oven safe to higher temperatures but that's a minor issue.</t>
  </si>
  <si>
    <t>Works for my setup. All ports function and the HDMI output has been stable. Runs a little warm but within acceptable limits for this type of device.</t>
  </si>
  <si>
    <t>This stand mixer is a beast. I've made bread dough, whipped cream, and cookie batter in it over the past few weeks and it powers through everything without struggling. The tilt head makes adding ingredients easy and the bowl locks in securely.</t>
  </si>
  <si>
    <t>Best frying pan I've owned. Eggs slide right off without any oil and cleanup is just a quick wipe. The handle stays cool while cooking and the weight feels substantial.</t>
  </si>
  <si>
    <t>Good purchase overall. Brews a full pot in about 8 minutes, the carafe pours without dribbling, and the strength setting actually makes a noticeable difference. Interface could be more intuitive but I figured it out after reading the manual.</t>
  </si>
  <si>
    <t>Nice pots. The finish is smooth and the colors are more vibrant in person than in the photos. Drainage holes work well. One pot had a small chip on the rim when it arrived but it's not visible from the front.</t>
  </si>
  <si>
    <t>Wonderfull fleece. Warm without being bulky and the fabric is soft against my skin. Great for layering under a jacket or wearing on its own around the house.</t>
  </si>
  <si>
    <t>It's a charger. It charges phones. Nothing remarkable about it but nothing wrong either. The cable that comes in the box is too short for my nightstand so I had to use a different one.</t>
  </si>
  <si>
    <t>Horrble. The knives arrived dull and stayed dull even after I tried to sharpen them. The handles are plastic that feels like it could break at any moment. Returned immediately.</t>
  </si>
  <si>
    <t>Brillant mouse. Zero lag in wireless mode, battery lasts about a week of heavy use, and the programmable buttons have been genuinely useful in games and for productivity shortcuts.</t>
  </si>
  <si>
    <t>Looks fine on the wall.</t>
  </si>
  <si>
    <t>The leather started cracking along the belt holes after a few months. For a leather belt I expected it to age better than this.</t>
  </si>
  <si>
    <t>Soft, well made, and the fit is perfect. I keep buying more of these as my old ones wear out. Nothing fancy but exactly what I want in a t-shirt.</t>
  </si>
  <si>
    <t>Warm for fall weather but I need something thicker for actual winter. The touchscreen fingers work about half the time.</t>
  </si>
  <si>
    <t>Really helpfull for travel. The size is just right for carry-on limits and the water bottle pocket actually holds a full bottle without it falling out. Wish the main zipper was a little sturdier but otherwise great.</t>
  </si>
  <si>
    <t>Not worth it. The image looks washed out and the colors are off no matter how I adjust the settings. I was expecting something comparable to my phone's front camera but this is noticeably worse.</t>
  </si>
  <si>
    <t>Warm enough for most days.</t>
  </si>
  <si>
    <t>Wonderfull desk lamp. Three brightness levels and three color temperatures let me adjust for any task. The USB charging port on the base is a thoughtful addition.</t>
  </si>
  <si>
    <t>Good sunglasses. The polarization works well and the lenses haven't scratched despite being tossed in my bag regularly. The fit is slightly loose on my face.</t>
  </si>
  <si>
    <t>I was skeptical at first because the price seemed too good, but these completely won me over. Clear mids, punchy bass without being muddy, and the touch controls actually work reliably unlike my previous pair. The charging case fits easily in my pocket.</t>
  </si>
  <si>
    <t>Incredible value for the price. This knife set has everything a home cook needs — chef's knife, paring knife, bread knife, and steak knives. The blades arrived razor sharp and the handles are comfortable in my hand even after extended prep work.</t>
  </si>
  <si>
    <t>Soft and cozy.</t>
  </si>
  <si>
    <t>The backpack works but I expected more compartments based on the product description. The single main compartment is large but without dividers things shift around. Good basic backpack.</t>
  </si>
  <si>
    <t>Perfect size for trips.</t>
  </si>
  <si>
    <t>It works for light cleaning but the battery runs out before I can finish vacuuming my whole house. Suction is good on hard floors but struggles with thick carpet.</t>
  </si>
  <si>
    <t>These pots are beautiful and the drainage is great for my houseplants. The set includes three sizes which is perfect for a mix of plants, and the saucers catch water so my furniture stays dry.</t>
  </si>
  <si>
    <t>The power bank itself takes forever to recharge — nearly 8 hours from empty to full. If I forget to charge it overnight I can't use it the next day.</t>
  </si>
  <si>
    <t>Disappointed. The stitching on the inner thigh came undone after about a month of wear. I've had jeans at half the price last longer than this.</t>
  </si>
  <si>
    <t>The shirt is fine for low-intensity exercise but doesn't keep up with heavy sweating. Felt like a cotton shirt during my last hot yoga class — soaked and heavy.</t>
  </si>
  <si>
    <t>Works well. Charges my iPhone overnight without any issues and the LED indicator lets me know at a glance that it's connected properly. My only nitpick is that it's a bit larger than I expected from the product photos.</t>
  </si>
  <si>
    <t>Reliable for weekend trips. Everything has a place and the organization makes airport security faster. The laptop sleeve fits my 15 inch laptop with room to spare.</t>
  </si>
  <si>
    <t>Best throw blanket I have ever owned. The build quality is obvious the moment you unpack it — heavy, substantial, and incredibly soft. I bought it for my couch and ended up buying a second one for the bedroom because my family kept fighting over it.</t>
  </si>
  <si>
    <t>Good running shoes. The grip is excellent on trails and the drainage holes mean water doesn't pool in the sole when it rains. One size small compared to my usual brand so I had to exchange for a larger pair.</t>
  </si>
  <si>
    <t>The frames are okay but lighter weight than I expected. They look fine on a wall but feel flimsy when you hold them. For the price it's what you 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</si>
</sst>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color theme="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2" fontId="0" fillId="0" borderId="0" xfId="0" applyNumberFormat="1"/>
    <xf numFmtId="164" fontId="0" fillId="0" borderId="0" xfId="0" applyNumberFormat="1"/>
  </cellXfs>
  <cellStyles count="1">
    <cellStyle name="Normal" xfId="0" builtinId="0"/>
  </cellStyles>
  <dxfs count="2">
    <dxf>
      <alignment textRotation="0" wrapText="1" indent="0" justifyLastLine="0" shrinkToFit="0" readingOrder="0"/>
    </dxf>
    <dxf>
      <font>
        <strike val="0"/>
        <outline val="0"/>
        <shadow val="0"/>
        <u val="none"/>
        <vertAlign val="baseline"/>
        <sz val="11"/>
        <color theme="0"/>
        <name val="Calibri"/>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RichValueTypes" Target="richData/rdRichValueTypes.xml"/><Relationship Id="rId3" Type="http://schemas.openxmlformats.org/officeDocument/2006/relationships/theme" Target="theme/theme1.xml"/><Relationship Id="rId7" Type="http://schemas.microsoft.com/office/2022/10/relationships/richValueRel" Target="richData/richValueRel.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Structure" Target="richData/rdsupportingpropertybagstructure.xml"/><Relationship Id="rId5" Type="http://schemas.openxmlformats.org/officeDocument/2006/relationships/sharedStrings" Target="sharedStrings.xml"/><Relationship Id="rId15" Type="http://schemas.microsoft.com/office/2023/09/relationships/Python" Target="python.xml"/><Relationship Id="rId10" Type="http://schemas.microsoft.com/office/2017/06/relationships/rdArray" Target="richData/rdarray.xml"/><Relationship Id="rId4" Type="http://schemas.openxmlformats.org/officeDocument/2006/relationships/styles" Target="styles.xml"/><Relationship Id="rId9" Type="http://schemas.microsoft.com/office/2017/06/relationships/rdRichValueStructure" Target="richData/rdrichvaluestructure.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711200</xdr:colOff>
      <xdr:row>37</xdr:row>
      <xdr:rowOff>45262</xdr:rowOff>
    </xdr:from>
    <xdr:to>
      <xdr:col>1</xdr:col>
      <xdr:colOff>1343378</xdr:colOff>
      <xdr:row>50</xdr:row>
      <xdr:rowOff>147663</xdr:rowOff>
    </xdr:to>
    <xdr:pic>
      <xdr:nvPicPr>
        <xdr:cNvPr id="3" name="Picture 2" descr="Image generated by Python">
          <a:extLst>
            <a:ext uri="{FF2B5EF4-FFF2-40B4-BE49-F238E27FC236}">
              <a16:creationId xmlns:a16="http://schemas.microsoft.com/office/drawing/2014/main" id="{12993982-5DF5-C22D-351D-D9A12D9177B7}"/>
            </a:ext>
          </a:extLst>
        </xdr:cNvPr>
        <xdr:cNvPicPr>
          <a:picLocks noChangeAspect="1"/>
          <a:extLst>
            <a:ext uri="{53484399-7A02-498B-ADA4-41CD10E50FAC}">
              <aif:imageFormula xmlns:aif="http://schemas.microsoft.com/office/drawing/2022/imageformula" formula="reviews_analysis!A39"/>
            </a:ext>
          </a:extLst>
        </xdr:cNvPicPr>
      </xdr:nvPicPr>
      <xdr:blipFill>
        <a:blip xmlns:r="http://schemas.openxmlformats.org/officeDocument/2006/relationships" r:embed="rId1"/>
        <a:stretch>
          <a:fillRect/>
        </a:stretch>
      </xdr:blipFill>
      <xdr:spPr>
        <a:xfrm>
          <a:off x="711200" y="7326595"/>
          <a:ext cx="3750733" cy="2468837"/>
        </a:xfrm>
        <a:prstGeom prst="rect">
          <a:avLst/>
        </a:prstGeom>
      </xdr:spPr>
    </xdr:pic>
    <xdr:clientData/>
  </xdr:twoCellAnchor>
  <xdr:twoCellAnchor editAs="oneCell">
    <xdr:from>
      <xdr:col>1</xdr:col>
      <xdr:colOff>148167</xdr:colOff>
      <xdr:row>144</xdr:row>
      <xdr:rowOff>177802</xdr:rowOff>
    </xdr:from>
    <xdr:to>
      <xdr:col>3</xdr:col>
      <xdr:colOff>521970</xdr:colOff>
      <xdr:row>158</xdr:row>
      <xdr:rowOff>165101</xdr:rowOff>
    </xdr:to>
    <xdr:pic>
      <xdr:nvPicPr>
        <xdr:cNvPr id="5" name="Picture 4" descr="Image generated by Python">
          <a:extLst>
            <a:ext uri="{FF2B5EF4-FFF2-40B4-BE49-F238E27FC236}">
              <a16:creationId xmlns:a16="http://schemas.microsoft.com/office/drawing/2014/main" id="{E3097072-14A1-F049-1D29-32C372DD4FD1}"/>
            </a:ext>
          </a:extLst>
        </xdr:cNvPr>
        <xdr:cNvPicPr>
          <a:picLocks noChangeAspect="1"/>
          <a:extLst>
            <a:ext uri="{53484399-7A02-498B-ADA4-41CD10E50FAC}">
              <aif:imageFormula xmlns:aif="http://schemas.microsoft.com/office/drawing/2022/imageformula" formula="reviews_analysis!A146"/>
            </a:ext>
          </a:extLst>
        </xdr:cNvPicPr>
      </xdr:nvPicPr>
      <xdr:blipFill>
        <a:blip xmlns:r="http://schemas.openxmlformats.org/officeDocument/2006/relationships" r:embed="rId2"/>
        <a:stretch>
          <a:fillRect/>
        </a:stretch>
      </xdr:blipFill>
      <xdr:spPr>
        <a:xfrm>
          <a:off x="795867" y="32397702"/>
          <a:ext cx="4224724" cy="2535766"/>
        </a:xfrm>
        <a:prstGeom prst="rect">
          <a:avLst/>
        </a:prstGeom>
      </xdr:spPr>
    </xdr:pic>
    <xdr:clientData/>
  </xdr:twoCellAnchor>
  <xdr:twoCellAnchor editAs="oneCell">
    <xdr:from>
      <xdr:col>1</xdr:col>
      <xdr:colOff>279400</xdr:colOff>
      <xdr:row>165</xdr:row>
      <xdr:rowOff>139699</xdr:rowOff>
    </xdr:from>
    <xdr:to>
      <xdr:col>4</xdr:col>
      <xdr:colOff>298039</xdr:colOff>
      <xdr:row>187</xdr:row>
      <xdr:rowOff>21175</xdr:rowOff>
    </xdr:to>
    <xdr:pic>
      <xdr:nvPicPr>
        <xdr:cNvPr id="6" name="Picture 5" descr="Image generated by Python">
          <a:extLst>
            <a:ext uri="{FF2B5EF4-FFF2-40B4-BE49-F238E27FC236}">
              <a16:creationId xmlns:a16="http://schemas.microsoft.com/office/drawing/2014/main" id="{23DD7136-65CF-B773-F43E-12572A3C30B5}"/>
            </a:ext>
          </a:extLst>
        </xdr:cNvPr>
        <xdr:cNvPicPr>
          <a:picLocks noChangeAspect="1"/>
          <a:extLst>
            <a:ext uri="{53484399-7A02-498B-ADA4-41CD10E50FAC}">
              <aif:imageFormula xmlns:aif="http://schemas.microsoft.com/office/drawing/2022/imageformula" formula="reviews_analysis!A167"/>
            </a:ext>
          </a:extLst>
        </xdr:cNvPicPr>
      </xdr:nvPicPr>
      <xdr:blipFill>
        <a:blip xmlns:r="http://schemas.openxmlformats.org/officeDocument/2006/relationships" r:embed="rId3"/>
        <a:stretch>
          <a:fillRect/>
        </a:stretch>
      </xdr:blipFill>
      <xdr:spPr>
        <a:xfrm>
          <a:off x="927100" y="36182299"/>
          <a:ext cx="7223774" cy="3886208"/>
        </a:xfrm>
        <a:prstGeom prst="rect">
          <a:avLst/>
        </a:prstGeom>
      </xdr:spPr>
    </xdr:pic>
    <xdr:clientData/>
  </xdr:twoCellAnchor>
  <xdr:twoCellAnchor editAs="oneCell">
    <xdr:from>
      <xdr:col>1</xdr:col>
      <xdr:colOff>237067</xdr:colOff>
      <xdr:row>195</xdr:row>
      <xdr:rowOff>46567</xdr:rowOff>
    </xdr:from>
    <xdr:to>
      <xdr:col>3</xdr:col>
      <xdr:colOff>1555046</xdr:colOff>
      <xdr:row>210</xdr:row>
      <xdr:rowOff>109420</xdr:rowOff>
    </xdr:to>
    <xdr:pic>
      <xdr:nvPicPr>
        <xdr:cNvPr id="7" name="Picture 6" descr="Image generated by Python">
          <a:extLst>
            <a:ext uri="{FF2B5EF4-FFF2-40B4-BE49-F238E27FC236}">
              <a16:creationId xmlns:a16="http://schemas.microsoft.com/office/drawing/2014/main" id="{B6798316-6A38-E9E3-BBA3-D332EFE34200}"/>
            </a:ext>
          </a:extLst>
        </xdr:cNvPr>
        <xdr:cNvPicPr>
          <a:picLocks noChangeAspect="1"/>
          <a:extLst>
            <a:ext uri="{53484399-7A02-498B-ADA4-41CD10E50FAC}">
              <aif:imageFormula xmlns:aif="http://schemas.microsoft.com/office/drawing/2022/imageformula" formula="reviews_analysis!A193"/>
            </a:ext>
          </a:extLst>
        </xdr:cNvPicPr>
      </xdr:nvPicPr>
      <xdr:blipFill>
        <a:blip xmlns:r="http://schemas.openxmlformats.org/officeDocument/2006/relationships" r:embed="rId4"/>
        <a:stretch>
          <a:fillRect/>
        </a:stretch>
      </xdr:blipFill>
      <xdr:spPr>
        <a:xfrm>
          <a:off x="884767" y="41550167"/>
          <a:ext cx="5168900" cy="2793354"/>
        </a:xfrm>
        <a:prstGeom prst="rect">
          <a:avLst/>
        </a:prstGeom>
      </xdr:spPr>
    </xdr:pic>
    <xdr:clientData/>
  </xdr:twoCellAnchor>
  <xdr:twoCellAnchor editAs="oneCell">
    <xdr:from>
      <xdr:col>0</xdr:col>
      <xdr:colOff>0</xdr:colOff>
      <xdr:row>22</xdr:row>
      <xdr:rowOff>111126</xdr:rowOff>
    </xdr:from>
    <xdr:to>
      <xdr:col>1</xdr:col>
      <xdr:colOff>129930</xdr:colOff>
      <xdr:row>34</xdr:row>
      <xdr:rowOff>103187</xdr:rowOff>
    </xdr:to>
    <xdr:pic>
      <xdr:nvPicPr>
        <xdr:cNvPr id="8" name="Picture 7" descr="Image generated by Python">
          <a:extLst>
            <a:ext uri="{FF2B5EF4-FFF2-40B4-BE49-F238E27FC236}">
              <a16:creationId xmlns:a16="http://schemas.microsoft.com/office/drawing/2014/main" id="{FE10CA20-0DDE-E722-7FAD-352CDB171B8B}"/>
            </a:ext>
          </a:extLst>
        </xdr:cNvPr>
        <xdr:cNvPicPr>
          <a:picLocks noChangeAspect="1"/>
          <a:extLst>
            <a:ext uri="{53484399-7A02-498B-ADA4-41CD10E50FAC}">
              <aif:imageFormula xmlns:aif="http://schemas.microsoft.com/office/drawing/2022/imageformula" formula="reviews_analysis!A27"/>
            </a:ext>
          </a:extLst>
        </xdr:cNvPicPr>
      </xdr:nvPicPr>
      <xdr:blipFill>
        <a:blip xmlns:r="http://schemas.openxmlformats.org/officeDocument/2006/relationships" r:embed="rId5"/>
        <a:stretch>
          <a:fillRect/>
        </a:stretch>
      </xdr:blipFill>
      <xdr:spPr>
        <a:xfrm>
          <a:off x="0" y="11691939"/>
          <a:ext cx="3225555" cy="2182811"/>
        </a:xfrm>
        <a:prstGeom prst="rect">
          <a:avLst/>
        </a:prstGeom>
      </xdr:spPr>
    </xdr:pic>
    <xdr:clientData/>
  </xdr:twoCellAnchor>
  <xdr:twoCellAnchor editAs="oneCell">
    <xdr:from>
      <xdr:col>0</xdr:col>
      <xdr:colOff>0</xdr:colOff>
      <xdr:row>83</xdr:row>
      <xdr:rowOff>0</xdr:rowOff>
    </xdr:from>
    <xdr:to>
      <xdr:col>3</xdr:col>
      <xdr:colOff>650874</xdr:colOff>
      <xdr:row>134</xdr:row>
      <xdr:rowOff>179097</xdr:rowOff>
    </xdr:to>
    <xdr:pic>
      <xdr:nvPicPr>
        <xdr:cNvPr id="2" name="Picture 1" descr="Image generated by Python">
          <a:extLst>
            <a:ext uri="{FF2B5EF4-FFF2-40B4-BE49-F238E27FC236}">
              <a16:creationId xmlns:a16="http://schemas.microsoft.com/office/drawing/2014/main" id="{18D36EFC-0618-9B5A-3A31-A35B8555DFC2}"/>
            </a:ext>
          </a:extLst>
        </xdr:cNvPr>
        <xdr:cNvPicPr>
          <a:picLocks noChangeAspect="1"/>
          <a:extLst>
            <a:ext uri="{53484399-7A02-498B-ADA4-41CD10E50FAC}">
              <aif:imageFormula xmlns:aif="http://schemas.microsoft.com/office/drawing/2022/imageformula" formula="reviews_analysis!A84"/>
            </a:ext>
          </a:extLst>
        </xdr:cNvPicPr>
      </xdr:nvPicPr>
      <xdr:blipFill>
        <a:blip xmlns:r="http://schemas.openxmlformats.org/officeDocument/2006/relationships" r:embed="rId6"/>
        <a:stretch>
          <a:fillRect/>
        </a:stretch>
      </xdr:blipFill>
      <xdr:spPr>
        <a:xfrm>
          <a:off x="0" y="22717125"/>
          <a:ext cx="7580312" cy="9489785"/>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1">
  <a r="12" c="3">
    <v t="s"/>
    <v t="s">word</v>
    <v t="s">count</v>
    <v>0</v>
    <v t="s">weeks</v>
    <v>12</v>
    <v>1</v>
    <v t="s">one</v>
    <v>9</v>
    <v>2</v>
    <v t="s">stopped</v>
    <v>8</v>
    <v>3</v>
    <v t="s">working</v>
    <v>7</v>
    <v>4</v>
    <v t="s">month</v>
    <v>7</v>
    <v t="s">...</v>
    <v t="s">...</v>
    <v t="s">...</v>
    <v>10</v>
    <v t="s">disappointed</v>
    <v>5</v>
    <v>11</v>
    <v t="s">three</v>
    <v>4</v>
    <v>12</v>
    <v t="s">even</v>
    <v>4</v>
    <v>13</v>
    <v t="s">normal</v>
    <v>4</v>
    <v>14</v>
    <v t="s">every</v>
    <v>4</v>
  </a>
</arrayData>
</file>

<file path=xl/richData/rdrichvalue.xml><?xml version="1.0" encoding="utf-8"?>
<rvData xmlns="http://schemas.microsoft.com/office/spreadsheetml/2017/richdata" count="9">
  <rv s="0">
    <v>0</v>
    <v>9</v>
    <v>Image generated by Python</v>
  </rv>
  <rv s="0">
    <v>1</v>
    <v>9</v>
    <v>Image generated by Python</v>
  </rv>
  <rv s="1">
    <v>0</v>
  </rv>
  <rv s="2">
    <v>DataFrame</v>
    <v>1</v>
    <v>2</v>
  </rv>
  <rv s="3">
    <v>&lt;class 'pandas.core.frame.DataFrame'&gt;</v>
    <v>DataFrame</v>
    <v xml:space="preserve">            word  count
0          weeks     12
1            one      9
2        stopped      8
3        working      7
4          month      7
5          works      7
6            use      7
7        started      6
8            two      6
9         wi...</v>
    <v>3</v>
    <v>2</v>
  </rv>
  <rv s="0">
    <v>2</v>
    <v>9</v>
    <v>Image generated by Python</v>
  </rv>
  <rv s="0">
    <v>3</v>
    <v>9</v>
    <v>Image generated by Python</v>
  </rv>
  <rv s="0">
    <v>4</v>
    <v>9</v>
    <v>Image generated by Python</v>
  </rv>
  <rv s="0">
    <v>5</v>
    <v>9</v>
    <v>Image generated by Python</v>
  </rv>
</rvData>
</file>

<file path=xl/richData/rdrichvaluestructure.xml><?xml version="1.0" encoding="utf-8"?>
<rvStructures xmlns="http://schemas.microsoft.com/office/spreadsheetml/2017/richdata" count="4">
  <s t="_localImage">
    <k n="_rvRel:LocalImageIdentifier" t="i"/>
    <k n="CalcOrigin" t="i"/>
    <k n="Text" t="s"/>
  </s>
  <s t="_array">
    <k n="array" t="a"/>
  </s>
  <s t="_entity">
    <k n="_DisplayString" t="s"/>
    <k n="_ViewInfo" t="spb"/>
    <k n="arrayPreview" t="r"/>
  </s>
  <s t="_python">
    <k n="Python_type" t="s"/>
    <k n="Python_typeName" t="s"/>
    <k n="Python_str" t="s"/>
    <k n="preview" t="r"/>
    <k n="_Provider" t="spb"/>
  </s>
</rvStructures>
</file>

<file path=xl/richData/rdsupportingpropertybag.xml><?xml version="1.0" encoding="utf-8"?>
<supportingPropertyBags xmlns="http://schemas.microsoft.com/office/spreadsheetml/2017/richdata2">
  <spbData count="3">
    <spb s="0">
      <v>15</v>
      <v>2</v>
      <v>DataFrame</v>
      <v>arrayPreview</v>
      <v>1</v>
    </spb>
    <spb s="1">
      <v>0</v>
    </spb>
    <spb s="2">
      <v>https://www.anaconda.com/excel</v>
      <v>https://res.cdn.office.net/officepysvc/prod-preview/anacondalogo.png</v>
      <v>Python provided by Anaconda</v>
    </spb>
  </spbData>
</supportingPropertyBags>
</file>

<file path=xl/richData/rdsupportingpropertybagstructure.xml><?xml version="1.0" encoding="utf-8"?>
<spbStructures xmlns="http://schemas.microsoft.com/office/spreadsheetml/2017/richdata2" count="3">
  <s>
    <k n="drw" t="i"/>
    <k n="dcol" t="i"/>
    <k n="name" t="s"/>
    <k n="array" t="s"/>
    <k n="headers" t="b"/>
  </s>
  <s>
    <k n="ArrayCardInfo" t="spb"/>
  </s>
  <s>
    <k n="link" t="s"/>
    <k n="logo" t="s"/>
    <k n="name" t="s"/>
  </s>
</spb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ews" displayName="reviews" ref="A1:D270" headerRowDxfId="1">
  <autoFilter ref="A1:D270" xr:uid="{00000000-0009-0000-0100-000001000000}"/>
  <tableColumns count="4">
    <tableColumn id="1" xr3:uid="{00000000-0010-0000-0000-000001000000}" name="product_category"/>
    <tableColumn id="2" xr3:uid="{00000000-0010-0000-0000-000002000000}" name="product_name"/>
    <tableColumn id="3" xr3:uid="{00000000-0010-0000-0000-000003000000}" name="rating"/>
    <tableColumn id="4" xr3:uid="{00000000-0010-0000-0000-000004000000}" name="review"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0"/>
  <sheetViews>
    <sheetView topLeftCell="A119" workbookViewId="0">
      <selection activeCell="B121" sqref="B121"/>
    </sheetView>
  </sheetViews>
  <sheetFormatPr defaultRowHeight="14.25" x14ac:dyDescent="0.45"/>
  <cols>
    <col min="1" max="1" width="20.1328125" customWidth="1"/>
    <col min="2" max="2" width="24.53125" customWidth="1"/>
    <col min="3" max="3" width="17" customWidth="1"/>
    <col min="4" max="4" width="62" style="3" customWidth="1"/>
  </cols>
  <sheetData>
    <row r="1" spans="1:4" x14ac:dyDescent="0.45">
      <c r="A1" s="1" t="s">
        <v>0</v>
      </c>
      <c r="B1" s="1" t="s">
        <v>1</v>
      </c>
      <c r="C1" s="1" t="s">
        <v>2</v>
      </c>
      <c r="D1" s="2" t="s">
        <v>3</v>
      </c>
    </row>
    <row r="2" spans="1:4" ht="57" x14ac:dyDescent="0.45">
      <c r="A2" t="s">
        <v>4</v>
      </c>
      <c r="B2" t="s">
        <v>5</v>
      </c>
      <c r="C2">
        <v>5</v>
      </c>
      <c r="D2" s="3" t="s">
        <v>6</v>
      </c>
    </row>
    <row r="3" spans="1:4" ht="42.75" x14ac:dyDescent="0.45">
      <c r="A3" t="s">
        <v>7</v>
      </c>
      <c r="B3" t="s">
        <v>8</v>
      </c>
      <c r="C3">
        <v>2</v>
      </c>
      <c r="D3" s="3" t="s">
        <v>9</v>
      </c>
    </row>
    <row r="4" spans="1:4" ht="42.75" x14ac:dyDescent="0.45">
      <c r="A4" t="s">
        <v>10</v>
      </c>
      <c r="B4" t="s">
        <v>11</v>
      </c>
      <c r="C4">
        <v>4</v>
      </c>
      <c r="D4" s="3" t="s">
        <v>12</v>
      </c>
    </row>
    <row r="5" spans="1:4" ht="42.75" x14ac:dyDescent="0.45">
      <c r="A5" t="s">
        <v>7</v>
      </c>
      <c r="B5" t="s">
        <v>13</v>
      </c>
      <c r="C5">
        <v>5</v>
      </c>
      <c r="D5" s="3" t="s">
        <v>14</v>
      </c>
    </row>
    <row r="6" spans="1:4" ht="28.5" x14ac:dyDescent="0.45">
      <c r="A6" t="s">
        <v>7</v>
      </c>
      <c r="B6" t="s">
        <v>15</v>
      </c>
      <c r="C6">
        <v>4</v>
      </c>
      <c r="D6" s="3" t="s">
        <v>16</v>
      </c>
    </row>
    <row r="7" spans="1:4" ht="42.75" x14ac:dyDescent="0.45">
      <c r="A7" t="s">
        <v>7</v>
      </c>
      <c r="B7" t="s">
        <v>15</v>
      </c>
      <c r="C7">
        <v>5</v>
      </c>
      <c r="D7" s="3" t="s">
        <v>17</v>
      </c>
    </row>
    <row r="8" spans="1:4" ht="28.5" x14ac:dyDescent="0.45">
      <c r="A8" t="s">
        <v>4</v>
      </c>
      <c r="B8" t="s">
        <v>18</v>
      </c>
      <c r="C8">
        <v>1</v>
      </c>
      <c r="D8" s="3" t="s">
        <v>19</v>
      </c>
    </row>
    <row r="9" spans="1:4" ht="42.75" x14ac:dyDescent="0.45">
      <c r="A9" t="s">
        <v>20</v>
      </c>
      <c r="B9" t="s">
        <v>21</v>
      </c>
      <c r="C9">
        <v>1</v>
      </c>
      <c r="D9" s="3" t="s">
        <v>22</v>
      </c>
    </row>
    <row r="10" spans="1:4" ht="42.75" x14ac:dyDescent="0.45">
      <c r="A10" t="s">
        <v>20</v>
      </c>
      <c r="B10" t="s">
        <v>23</v>
      </c>
      <c r="C10">
        <v>4</v>
      </c>
      <c r="D10" s="3" t="s">
        <v>24</v>
      </c>
    </row>
    <row r="11" spans="1:4" ht="42.75" x14ac:dyDescent="0.45">
      <c r="A11" t="s">
        <v>10</v>
      </c>
      <c r="B11" t="s">
        <v>25</v>
      </c>
      <c r="C11">
        <v>5</v>
      </c>
      <c r="D11" s="3" t="s">
        <v>26</v>
      </c>
    </row>
    <row r="12" spans="1:4" ht="28.5" x14ac:dyDescent="0.45">
      <c r="A12" t="s">
        <v>10</v>
      </c>
      <c r="B12" t="s">
        <v>27</v>
      </c>
      <c r="C12">
        <v>5</v>
      </c>
      <c r="D12" s="3" t="s">
        <v>28</v>
      </c>
    </row>
    <row r="13" spans="1:4" ht="28.5" x14ac:dyDescent="0.45">
      <c r="A13" t="s">
        <v>7</v>
      </c>
      <c r="B13" t="s">
        <v>29</v>
      </c>
      <c r="C13">
        <v>3</v>
      </c>
      <c r="D13" s="3" t="s">
        <v>30</v>
      </c>
    </row>
    <row r="14" spans="1:4" ht="42.75" x14ac:dyDescent="0.45">
      <c r="A14" t="s">
        <v>20</v>
      </c>
      <c r="B14" t="s">
        <v>31</v>
      </c>
      <c r="C14">
        <v>3</v>
      </c>
      <c r="D14" s="3" t="s">
        <v>32</v>
      </c>
    </row>
    <row r="15" spans="1:4" ht="42.75" x14ac:dyDescent="0.45">
      <c r="A15" t="s">
        <v>10</v>
      </c>
      <c r="B15" t="s">
        <v>11</v>
      </c>
      <c r="C15">
        <v>1</v>
      </c>
      <c r="D15" s="3" t="s">
        <v>33</v>
      </c>
    </row>
    <row r="16" spans="1:4" ht="42.75" x14ac:dyDescent="0.45">
      <c r="A16" t="s">
        <v>7</v>
      </c>
      <c r="B16" t="s">
        <v>34</v>
      </c>
      <c r="C16">
        <v>5</v>
      </c>
      <c r="D16" s="3" t="s">
        <v>35</v>
      </c>
    </row>
    <row r="17" spans="1:4" ht="28.5" x14ac:dyDescent="0.45">
      <c r="A17" t="s">
        <v>7</v>
      </c>
      <c r="B17" t="s">
        <v>8</v>
      </c>
      <c r="C17">
        <v>4</v>
      </c>
      <c r="D17" s="3" t="s">
        <v>36</v>
      </c>
    </row>
    <row r="18" spans="1:4" ht="28.5" x14ac:dyDescent="0.45">
      <c r="A18" t="s">
        <v>10</v>
      </c>
      <c r="B18" t="s">
        <v>25</v>
      </c>
      <c r="C18">
        <v>3</v>
      </c>
      <c r="D18" s="3" t="s">
        <v>37</v>
      </c>
    </row>
    <row r="19" spans="1:4" ht="28.5" x14ac:dyDescent="0.45">
      <c r="A19" t="s">
        <v>7</v>
      </c>
      <c r="B19" t="s">
        <v>29</v>
      </c>
      <c r="C19">
        <v>5</v>
      </c>
      <c r="D19" s="3" t="s">
        <v>38</v>
      </c>
    </row>
    <row r="20" spans="1:4" ht="42.75" x14ac:dyDescent="0.45">
      <c r="A20" t="s">
        <v>7</v>
      </c>
      <c r="B20" t="s">
        <v>39</v>
      </c>
      <c r="C20">
        <v>5</v>
      </c>
      <c r="D20" s="3" t="s">
        <v>40</v>
      </c>
    </row>
    <row r="21" spans="1:4" ht="57" x14ac:dyDescent="0.45">
      <c r="A21" t="s">
        <v>20</v>
      </c>
      <c r="B21" t="s">
        <v>41</v>
      </c>
      <c r="C21">
        <v>4</v>
      </c>
      <c r="D21" s="3" t="s">
        <v>42</v>
      </c>
    </row>
    <row r="22" spans="1:4" ht="42.75" x14ac:dyDescent="0.45">
      <c r="A22" t="s">
        <v>7</v>
      </c>
      <c r="B22" t="s">
        <v>43</v>
      </c>
      <c r="C22">
        <v>2</v>
      </c>
      <c r="D22" s="3" t="s">
        <v>44</v>
      </c>
    </row>
    <row r="23" spans="1:4" ht="28.5" x14ac:dyDescent="0.45">
      <c r="A23" t="s">
        <v>7</v>
      </c>
      <c r="B23" t="s">
        <v>39</v>
      </c>
      <c r="C23">
        <v>4</v>
      </c>
      <c r="D23" s="3" t="s">
        <v>45</v>
      </c>
    </row>
    <row r="24" spans="1:4" ht="57" x14ac:dyDescent="0.45">
      <c r="A24" t="s">
        <v>20</v>
      </c>
      <c r="B24" t="s">
        <v>46</v>
      </c>
      <c r="C24">
        <v>5</v>
      </c>
      <c r="D24" s="3" t="s">
        <v>47</v>
      </c>
    </row>
    <row r="25" spans="1:4" ht="42.75" x14ac:dyDescent="0.45">
      <c r="A25" t="s">
        <v>20</v>
      </c>
      <c r="B25" t="s">
        <v>21</v>
      </c>
      <c r="C25">
        <v>4</v>
      </c>
      <c r="D25" s="3" t="s">
        <v>48</v>
      </c>
    </row>
    <row r="26" spans="1:4" ht="28.5" x14ac:dyDescent="0.45">
      <c r="A26" t="s">
        <v>10</v>
      </c>
      <c r="B26" t="s">
        <v>49</v>
      </c>
      <c r="C26">
        <v>5</v>
      </c>
      <c r="D26" s="3" t="s">
        <v>50</v>
      </c>
    </row>
    <row r="27" spans="1:4" ht="42.75" x14ac:dyDescent="0.45">
      <c r="A27" t="s">
        <v>4</v>
      </c>
      <c r="B27" t="s">
        <v>51</v>
      </c>
      <c r="C27">
        <v>4</v>
      </c>
      <c r="D27" s="3" t="s">
        <v>52</v>
      </c>
    </row>
    <row r="28" spans="1:4" ht="42.75" x14ac:dyDescent="0.45">
      <c r="A28" t="s">
        <v>4</v>
      </c>
      <c r="B28" t="s">
        <v>53</v>
      </c>
      <c r="C28">
        <v>2</v>
      </c>
      <c r="D28" s="3" t="s">
        <v>54</v>
      </c>
    </row>
    <row r="29" spans="1:4" ht="42.75" x14ac:dyDescent="0.45">
      <c r="A29" t="s">
        <v>4</v>
      </c>
      <c r="B29" t="s">
        <v>55</v>
      </c>
      <c r="C29">
        <v>3</v>
      </c>
      <c r="D29" s="3" t="s">
        <v>56</v>
      </c>
    </row>
    <row r="30" spans="1:4" ht="42.75" x14ac:dyDescent="0.45">
      <c r="A30" t="s">
        <v>7</v>
      </c>
      <c r="B30" t="s">
        <v>39</v>
      </c>
      <c r="C30">
        <v>2</v>
      </c>
      <c r="D30" s="3" t="s">
        <v>57</v>
      </c>
    </row>
    <row r="31" spans="1:4" ht="57" x14ac:dyDescent="0.45">
      <c r="A31" t="s">
        <v>4</v>
      </c>
      <c r="B31" t="s">
        <v>58</v>
      </c>
      <c r="C31">
        <v>5</v>
      </c>
      <c r="D31" s="3" t="s">
        <v>59</v>
      </c>
    </row>
    <row r="32" spans="1:4" ht="42.75" x14ac:dyDescent="0.45">
      <c r="A32" t="s">
        <v>7</v>
      </c>
      <c r="B32" t="s">
        <v>8</v>
      </c>
      <c r="C32">
        <v>5</v>
      </c>
      <c r="D32" s="3" t="s">
        <v>60</v>
      </c>
    </row>
    <row r="33" spans="1:4" ht="42.75" x14ac:dyDescent="0.45">
      <c r="A33" t="s">
        <v>20</v>
      </c>
      <c r="B33" t="s">
        <v>61</v>
      </c>
      <c r="C33">
        <v>4</v>
      </c>
      <c r="D33" s="3" t="s">
        <v>62</v>
      </c>
    </row>
    <row r="34" spans="1:4" ht="28.5" x14ac:dyDescent="0.45">
      <c r="A34" t="s">
        <v>7</v>
      </c>
      <c r="B34" t="s">
        <v>63</v>
      </c>
      <c r="C34">
        <v>2</v>
      </c>
      <c r="D34" s="3" t="s">
        <v>64</v>
      </c>
    </row>
    <row r="35" spans="1:4" ht="42.75" x14ac:dyDescent="0.45">
      <c r="A35" t="s">
        <v>4</v>
      </c>
      <c r="B35" t="s">
        <v>65</v>
      </c>
      <c r="C35">
        <v>3</v>
      </c>
      <c r="D35" s="3" t="s">
        <v>66</v>
      </c>
    </row>
    <row r="36" spans="1:4" ht="57" x14ac:dyDescent="0.45">
      <c r="A36" t="s">
        <v>4</v>
      </c>
      <c r="B36" t="s">
        <v>18</v>
      </c>
      <c r="C36">
        <v>5</v>
      </c>
      <c r="D36" s="3" t="s">
        <v>67</v>
      </c>
    </row>
    <row r="37" spans="1:4" ht="42.75" x14ac:dyDescent="0.45">
      <c r="A37" t="s">
        <v>4</v>
      </c>
      <c r="B37" t="s">
        <v>55</v>
      </c>
      <c r="C37">
        <v>1</v>
      </c>
      <c r="D37" s="3" t="s">
        <v>68</v>
      </c>
    </row>
    <row r="38" spans="1:4" ht="42.75" x14ac:dyDescent="0.45">
      <c r="A38" t="s">
        <v>7</v>
      </c>
      <c r="B38" t="s">
        <v>34</v>
      </c>
      <c r="C38">
        <v>3</v>
      </c>
      <c r="D38" s="3" t="s">
        <v>69</v>
      </c>
    </row>
    <row r="39" spans="1:4" ht="42.75" x14ac:dyDescent="0.45">
      <c r="A39" t="s">
        <v>20</v>
      </c>
      <c r="B39" t="s">
        <v>61</v>
      </c>
      <c r="C39">
        <v>4</v>
      </c>
      <c r="D39" s="3" t="s">
        <v>70</v>
      </c>
    </row>
    <row r="40" spans="1:4" ht="42.75" x14ac:dyDescent="0.45">
      <c r="A40" t="s">
        <v>7</v>
      </c>
      <c r="B40" t="s">
        <v>34</v>
      </c>
      <c r="C40">
        <v>4</v>
      </c>
      <c r="D40" s="3" t="s">
        <v>71</v>
      </c>
    </row>
    <row r="41" spans="1:4" ht="42.75" x14ac:dyDescent="0.45">
      <c r="A41" t="s">
        <v>7</v>
      </c>
      <c r="B41" t="s">
        <v>34</v>
      </c>
      <c r="C41">
        <v>4</v>
      </c>
      <c r="D41" s="3" t="s">
        <v>72</v>
      </c>
    </row>
    <row r="42" spans="1:4" ht="42.75" x14ac:dyDescent="0.45">
      <c r="A42" t="s">
        <v>4</v>
      </c>
      <c r="B42" t="s">
        <v>58</v>
      </c>
      <c r="C42">
        <v>5</v>
      </c>
      <c r="D42" s="3" t="s">
        <v>73</v>
      </c>
    </row>
    <row r="43" spans="1:4" ht="42.75" x14ac:dyDescent="0.45">
      <c r="A43" t="s">
        <v>7</v>
      </c>
      <c r="B43" t="s">
        <v>74</v>
      </c>
      <c r="C43">
        <v>3</v>
      </c>
      <c r="D43" s="3" t="s">
        <v>75</v>
      </c>
    </row>
    <row r="44" spans="1:4" ht="42.75" x14ac:dyDescent="0.45">
      <c r="A44" t="s">
        <v>4</v>
      </c>
      <c r="B44" t="s">
        <v>51</v>
      </c>
      <c r="C44">
        <v>3</v>
      </c>
      <c r="D44" s="3" t="s">
        <v>76</v>
      </c>
    </row>
    <row r="45" spans="1:4" ht="57" x14ac:dyDescent="0.45">
      <c r="A45" t="s">
        <v>4</v>
      </c>
      <c r="B45" t="s">
        <v>53</v>
      </c>
      <c r="C45">
        <v>5</v>
      </c>
      <c r="D45" s="3" t="s">
        <v>77</v>
      </c>
    </row>
    <row r="46" spans="1:4" ht="57" x14ac:dyDescent="0.45">
      <c r="A46" t="s">
        <v>10</v>
      </c>
      <c r="B46" t="s">
        <v>11</v>
      </c>
      <c r="C46">
        <v>5</v>
      </c>
      <c r="D46" s="3" t="s">
        <v>78</v>
      </c>
    </row>
    <row r="47" spans="1:4" ht="42.75" x14ac:dyDescent="0.45">
      <c r="A47" t="s">
        <v>4</v>
      </c>
      <c r="B47" t="s">
        <v>79</v>
      </c>
      <c r="C47">
        <v>4</v>
      </c>
      <c r="D47" s="3" t="s">
        <v>80</v>
      </c>
    </row>
    <row r="48" spans="1:4" ht="28.5" x14ac:dyDescent="0.45">
      <c r="A48" t="s">
        <v>10</v>
      </c>
      <c r="B48" t="s">
        <v>81</v>
      </c>
      <c r="C48">
        <v>2</v>
      </c>
      <c r="D48" s="3" t="s">
        <v>82</v>
      </c>
    </row>
    <row r="49" spans="1:4" ht="42.75" x14ac:dyDescent="0.45">
      <c r="A49" t="s">
        <v>20</v>
      </c>
      <c r="B49" t="s">
        <v>21</v>
      </c>
      <c r="C49">
        <v>5</v>
      </c>
      <c r="D49" s="3" t="s">
        <v>83</v>
      </c>
    </row>
    <row r="50" spans="1:4" ht="42.75" x14ac:dyDescent="0.45">
      <c r="A50" t="s">
        <v>10</v>
      </c>
      <c r="B50" t="s">
        <v>49</v>
      </c>
      <c r="C50">
        <v>4</v>
      </c>
      <c r="D50" s="3" t="s">
        <v>84</v>
      </c>
    </row>
    <row r="51" spans="1:4" ht="28.5" x14ac:dyDescent="0.45">
      <c r="A51" t="s">
        <v>7</v>
      </c>
      <c r="B51" t="s">
        <v>85</v>
      </c>
      <c r="C51">
        <v>2</v>
      </c>
      <c r="D51" s="3" t="s">
        <v>86</v>
      </c>
    </row>
    <row r="52" spans="1:4" ht="42.75" x14ac:dyDescent="0.45">
      <c r="A52" t="s">
        <v>4</v>
      </c>
      <c r="B52" t="s">
        <v>87</v>
      </c>
      <c r="C52">
        <v>4</v>
      </c>
      <c r="D52" s="3" t="s">
        <v>88</v>
      </c>
    </row>
    <row r="53" spans="1:4" x14ac:dyDescent="0.45">
      <c r="A53" t="s">
        <v>7</v>
      </c>
      <c r="B53" t="s">
        <v>39</v>
      </c>
      <c r="C53">
        <v>5</v>
      </c>
      <c r="D53" s="3" t="s">
        <v>89</v>
      </c>
    </row>
    <row r="54" spans="1:4" ht="28.5" x14ac:dyDescent="0.45">
      <c r="A54" t="s">
        <v>20</v>
      </c>
      <c r="B54" t="s">
        <v>90</v>
      </c>
      <c r="C54">
        <v>4</v>
      </c>
      <c r="D54" s="3" t="s">
        <v>91</v>
      </c>
    </row>
    <row r="55" spans="1:4" ht="42.75" x14ac:dyDescent="0.45">
      <c r="A55" t="s">
        <v>10</v>
      </c>
      <c r="B55" t="s">
        <v>92</v>
      </c>
      <c r="C55">
        <v>5</v>
      </c>
      <c r="D55" s="3" t="s">
        <v>93</v>
      </c>
    </row>
    <row r="56" spans="1:4" ht="42.75" x14ac:dyDescent="0.45">
      <c r="A56" t="s">
        <v>7</v>
      </c>
      <c r="B56" t="s">
        <v>8</v>
      </c>
      <c r="C56">
        <v>3</v>
      </c>
      <c r="D56" s="3" t="s">
        <v>94</v>
      </c>
    </row>
    <row r="57" spans="1:4" ht="42.75" x14ac:dyDescent="0.45">
      <c r="A57" t="s">
        <v>4</v>
      </c>
      <c r="B57" t="s">
        <v>5</v>
      </c>
      <c r="C57">
        <v>3</v>
      </c>
      <c r="D57" s="3" t="s">
        <v>95</v>
      </c>
    </row>
    <row r="58" spans="1:4" ht="28.5" x14ac:dyDescent="0.45">
      <c r="A58" t="s">
        <v>10</v>
      </c>
      <c r="B58" t="s">
        <v>81</v>
      </c>
      <c r="C58">
        <v>4</v>
      </c>
      <c r="D58" s="3" t="s">
        <v>96</v>
      </c>
    </row>
    <row r="59" spans="1:4" ht="42.75" x14ac:dyDescent="0.45">
      <c r="A59" t="s">
        <v>7</v>
      </c>
      <c r="B59" t="s">
        <v>63</v>
      </c>
      <c r="C59">
        <v>4</v>
      </c>
      <c r="D59" s="3" t="s">
        <v>97</v>
      </c>
    </row>
    <row r="60" spans="1:4" ht="28.5" x14ac:dyDescent="0.45">
      <c r="A60" t="s">
        <v>10</v>
      </c>
      <c r="B60" t="s">
        <v>98</v>
      </c>
      <c r="C60">
        <v>3</v>
      </c>
      <c r="D60" s="3" t="s">
        <v>99</v>
      </c>
    </row>
    <row r="61" spans="1:4" ht="28.5" x14ac:dyDescent="0.45">
      <c r="A61" t="s">
        <v>10</v>
      </c>
      <c r="B61" t="s">
        <v>100</v>
      </c>
      <c r="C61">
        <v>4</v>
      </c>
      <c r="D61" s="3" t="s">
        <v>101</v>
      </c>
    </row>
    <row r="62" spans="1:4" ht="42.75" x14ac:dyDescent="0.45">
      <c r="A62" t="s">
        <v>4</v>
      </c>
      <c r="B62" t="s">
        <v>87</v>
      </c>
      <c r="C62">
        <v>3</v>
      </c>
      <c r="D62" s="3" t="s">
        <v>102</v>
      </c>
    </row>
    <row r="63" spans="1:4" ht="42.75" x14ac:dyDescent="0.45">
      <c r="A63" t="s">
        <v>10</v>
      </c>
      <c r="B63" t="s">
        <v>103</v>
      </c>
      <c r="C63">
        <v>2</v>
      </c>
      <c r="D63" s="3" t="s">
        <v>104</v>
      </c>
    </row>
    <row r="64" spans="1:4" x14ac:dyDescent="0.45">
      <c r="A64" t="s">
        <v>20</v>
      </c>
      <c r="B64" t="s">
        <v>21</v>
      </c>
      <c r="C64">
        <v>1</v>
      </c>
      <c r="D64" s="3" t="s">
        <v>105</v>
      </c>
    </row>
    <row r="65" spans="1:4" ht="57" x14ac:dyDescent="0.45">
      <c r="A65" t="s">
        <v>4</v>
      </c>
      <c r="B65" t="s">
        <v>51</v>
      </c>
      <c r="C65">
        <v>3</v>
      </c>
      <c r="D65" s="3" t="s">
        <v>106</v>
      </c>
    </row>
    <row r="66" spans="1:4" ht="28.5" x14ac:dyDescent="0.45">
      <c r="A66" t="s">
        <v>20</v>
      </c>
      <c r="B66" t="s">
        <v>90</v>
      </c>
      <c r="C66">
        <v>3</v>
      </c>
      <c r="D66" s="3" t="s">
        <v>107</v>
      </c>
    </row>
    <row r="67" spans="1:4" ht="42.75" x14ac:dyDescent="0.45">
      <c r="A67" t="s">
        <v>20</v>
      </c>
      <c r="B67" t="s">
        <v>108</v>
      </c>
      <c r="C67">
        <v>2</v>
      </c>
      <c r="D67" s="3" t="s">
        <v>109</v>
      </c>
    </row>
    <row r="68" spans="1:4" x14ac:dyDescent="0.45">
      <c r="A68" t="s">
        <v>4</v>
      </c>
      <c r="B68" t="s">
        <v>58</v>
      </c>
      <c r="C68">
        <v>3</v>
      </c>
      <c r="D68" s="3" t="s">
        <v>110</v>
      </c>
    </row>
    <row r="69" spans="1:4" ht="57" x14ac:dyDescent="0.45">
      <c r="A69" t="s">
        <v>4</v>
      </c>
      <c r="B69" t="s">
        <v>55</v>
      </c>
      <c r="C69">
        <v>4</v>
      </c>
      <c r="D69" s="3" t="s">
        <v>111</v>
      </c>
    </row>
    <row r="70" spans="1:4" ht="28.5" x14ac:dyDescent="0.45">
      <c r="A70" t="s">
        <v>10</v>
      </c>
      <c r="B70" t="s">
        <v>11</v>
      </c>
      <c r="C70">
        <v>4</v>
      </c>
      <c r="D70" s="3" t="s">
        <v>112</v>
      </c>
    </row>
    <row r="71" spans="1:4" ht="42.75" x14ac:dyDescent="0.45">
      <c r="A71" t="s">
        <v>10</v>
      </c>
      <c r="B71" t="s">
        <v>103</v>
      </c>
      <c r="C71">
        <v>4</v>
      </c>
      <c r="D71" s="3" t="s">
        <v>113</v>
      </c>
    </row>
    <row r="72" spans="1:4" ht="57" x14ac:dyDescent="0.45">
      <c r="A72" t="s">
        <v>4</v>
      </c>
      <c r="B72" t="s">
        <v>87</v>
      </c>
      <c r="C72">
        <v>1</v>
      </c>
      <c r="D72" s="3" t="s">
        <v>114</v>
      </c>
    </row>
    <row r="73" spans="1:4" ht="42.75" x14ac:dyDescent="0.45">
      <c r="A73" t="s">
        <v>10</v>
      </c>
      <c r="B73" t="s">
        <v>115</v>
      </c>
      <c r="C73">
        <v>4</v>
      </c>
      <c r="D73" s="3" t="s">
        <v>116</v>
      </c>
    </row>
    <row r="74" spans="1:4" ht="28.5" x14ac:dyDescent="0.45">
      <c r="A74" t="s">
        <v>20</v>
      </c>
      <c r="B74" t="s">
        <v>117</v>
      </c>
      <c r="C74">
        <v>3</v>
      </c>
      <c r="D74" s="3" t="s">
        <v>118</v>
      </c>
    </row>
    <row r="75" spans="1:4" ht="57" x14ac:dyDescent="0.45">
      <c r="A75" t="s">
        <v>7</v>
      </c>
      <c r="B75" t="s">
        <v>8</v>
      </c>
      <c r="C75">
        <v>5</v>
      </c>
      <c r="D75" s="3" t="s">
        <v>119</v>
      </c>
    </row>
    <row r="76" spans="1:4" ht="28.5" x14ac:dyDescent="0.45">
      <c r="A76" t="s">
        <v>10</v>
      </c>
      <c r="B76" t="s">
        <v>120</v>
      </c>
      <c r="C76">
        <v>2</v>
      </c>
      <c r="D76" s="3" t="s">
        <v>121</v>
      </c>
    </row>
    <row r="77" spans="1:4" ht="42.75" x14ac:dyDescent="0.45">
      <c r="A77" t="s">
        <v>10</v>
      </c>
      <c r="B77" t="s">
        <v>27</v>
      </c>
      <c r="C77">
        <v>2</v>
      </c>
      <c r="D77" s="3" t="s">
        <v>122</v>
      </c>
    </row>
    <row r="78" spans="1:4" ht="42.75" x14ac:dyDescent="0.45">
      <c r="A78" t="s">
        <v>20</v>
      </c>
      <c r="B78" t="s">
        <v>23</v>
      </c>
      <c r="C78">
        <v>3</v>
      </c>
      <c r="D78" s="3" t="s">
        <v>123</v>
      </c>
    </row>
    <row r="79" spans="1:4" ht="57" x14ac:dyDescent="0.45">
      <c r="A79" t="s">
        <v>10</v>
      </c>
      <c r="B79" t="s">
        <v>124</v>
      </c>
      <c r="C79">
        <v>5</v>
      </c>
      <c r="D79" s="3" t="s">
        <v>125</v>
      </c>
    </row>
    <row r="80" spans="1:4" ht="28.5" x14ac:dyDescent="0.45">
      <c r="A80" t="s">
        <v>20</v>
      </c>
      <c r="B80" t="s">
        <v>61</v>
      </c>
      <c r="C80">
        <v>4</v>
      </c>
      <c r="D80" s="3" t="s">
        <v>126</v>
      </c>
    </row>
    <row r="81" spans="1:4" ht="57" x14ac:dyDescent="0.45">
      <c r="A81" t="s">
        <v>20</v>
      </c>
      <c r="B81" t="s">
        <v>21</v>
      </c>
      <c r="C81">
        <v>5</v>
      </c>
      <c r="D81" s="3" t="s">
        <v>127</v>
      </c>
    </row>
    <row r="82" spans="1:4" x14ac:dyDescent="0.45">
      <c r="A82" t="s">
        <v>4</v>
      </c>
      <c r="B82" t="s">
        <v>51</v>
      </c>
      <c r="C82">
        <v>4</v>
      </c>
      <c r="D82" s="3" t="s">
        <v>128</v>
      </c>
    </row>
    <row r="83" spans="1:4" ht="42.75" x14ac:dyDescent="0.45">
      <c r="A83" t="s">
        <v>10</v>
      </c>
      <c r="B83" t="s">
        <v>27</v>
      </c>
      <c r="C83">
        <v>4</v>
      </c>
      <c r="D83" s="3" t="s">
        <v>129</v>
      </c>
    </row>
    <row r="84" spans="1:4" ht="28.5" x14ac:dyDescent="0.45">
      <c r="A84" t="s">
        <v>10</v>
      </c>
      <c r="B84" t="s">
        <v>92</v>
      </c>
      <c r="C84">
        <v>4</v>
      </c>
      <c r="D84" s="3" t="s">
        <v>130</v>
      </c>
    </row>
    <row r="85" spans="1:4" ht="42.75" x14ac:dyDescent="0.45">
      <c r="A85" t="s">
        <v>10</v>
      </c>
      <c r="B85" t="s">
        <v>49</v>
      </c>
      <c r="C85">
        <v>5</v>
      </c>
      <c r="D85" s="3" t="s">
        <v>131</v>
      </c>
    </row>
    <row r="86" spans="1:4" ht="28.5" x14ac:dyDescent="0.45">
      <c r="A86" t="s">
        <v>10</v>
      </c>
      <c r="B86" t="s">
        <v>115</v>
      </c>
      <c r="C86">
        <v>3</v>
      </c>
      <c r="D86" s="3" t="s">
        <v>132</v>
      </c>
    </row>
    <row r="87" spans="1:4" ht="28.5" x14ac:dyDescent="0.45">
      <c r="A87" t="s">
        <v>7</v>
      </c>
      <c r="B87" t="s">
        <v>74</v>
      </c>
      <c r="C87">
        <v>2</v>
      </c>
      <c r="D87" s="3" t="s">
        <v>133</v>
      </c>
    </row>
    <row r="88" spans="1:4" ht="42.75" x14ac:dyDescent="0.45">
      <c r="A88" t="s">
        <v>7</v>
      </c>
      <c r="B88" t="s">
        <v>74</v>
      </c>
      <c r="C88">
        <v>4</v>
      </c>
      <c r="D88" s="3" t="s">
        <v>134</v>
      </c>
    </row>
    <row r="89" spans="1:4" ht="42.75" x14ac:dyDescent="0.45">
      <c r="A89" t="s">
        <v>10</v>
      </c>
      <c r="B89" t="s">
        <v>11</v>
      </c>
      <c r="C89">
        <v>5</v>
      </c>
      <c r="D89" s="3" t="s">
        <v>135</v>
      </c>
    </row>
    <row r="90" spans="1:4" ht="28.5" x14ac:dyDescent="0.45">
      <c r="A90" t="s">
        <v>10</v>
      </c>
      <c r="B90" t="s">
        <v>103</v>
      </c>
      <c r="C90">
        <v>5</v>
      </c>
      <c r="D90" s="3" t="s">
        <v>136</v>
      </c>
    </row>
    <row r="91" spans="1:4" ht="42.75" x14ac:dyDescent="0.45">
      <c r="A91" t="s">
        <v>7</v>
      </c>
      <c r="B91" t="s">
        <v>39</v>
      </c>
      <c r="C91">
        <v>1</v>
      </c>
      <c r="D91" s="3" t="s">
        <v>137</v>
      </c>
    </row>
    <row r="92" spans="1:4" ht="42.75" x14ac:dyDescent="0.45">
      <c r="A92" t="s">
        <v>20</v>
      </c>
      <c r="B92" t="s">
        <v>31</v>
      </c>
      <c r="C92">
        <v>1</v>
      </c>
      <c r="D92" s="3" t="s">
        <v>138</v>
      </c>
    </row>
    <row r="93" spans="1:4" x14ac:dyDescent="0.45">
      <c r="A93" t="s">
        <v>10</v>
      </c>
      <c r="B93" t="s">
        <v>11</v>
      </c>
      <c r="C93">
        <v>5</v>
      </c>
      <c r="D93" s="3" t="s">
        <v>139</v>
      </c>
    </row>
    <row r="94" spans="1:4" ht="42.75" x14ac:dyDescent="0.45">
      <c r="A94" t="s">
        <v>7</v>
      </c>
      <c r="B94" t="s">
        <v>43</v>
      </c>
      <c r="C94">
        <v>5</v>
      </c>
      <c r="D94" s="3" t="s">
        <v>140</v>
      </c>
    </row>
    <row r="95" spans="1:4" ht="42.75" x14ac:dyDescent="0.45">
      <c r="A95" t="s">
        <v>4</v>
      </c>
      <c r="B95" t="s">
        <v>58</v>
      </c>
      <c r="C95">
        <v>4</v>
      </c>
      <c r="D95" s="3" t="s">
        <v>141</v>
      </c>
    </row>
    <row r="96" spans="1:4" x14ac:dyDescent="0.45">
      <c r="A96" t="s">
        <v>4</v>
      </c>
      <c r="B96" t="s">
        <v>55</v>
      </c>
      <c r="C96">
        <v>5</v>
      </c>
      <c r="D96" s="3" t="s">
        <v>142</v>
      </c>
    </row>
    <row r="97" spans="1:4" ht="28.5" x14ac:dyDescent="0.45">
      <c r="A97" t="s">
        <v>20</v>
      </c>
      <c r="B97" t="s">
        <v>61</v>
      </c>
      <c r="C97">
        <v>3</v>
      </c>
      <c r="D97" s="3" t="s">
        <v>143</v>
      </c>
    </row>
    <row r="98" spans="1:4" ht="28.5" x14ac:dyDescent="0.45">
      <c r="A98" t="s">
        <v>20</v>
      </c>
      <c r="B98" t="s">
        <v>61</v>
      </c>
      <c r="C98">
        <v>3</v>
      </c>
      <c r="D98" s="3" t="s">
        <v>144</v>
      </c>
    </row>
    <row r="99" spans="1:4" ht="57" x14ac:dyDescent="0.45">
      <c r="A99" t="s">
        <v>4</v>
      </c>
      <c r="B99" t="s">
        <v>55</v>
      </c>
      <c r="C99">
        <v>4</v>
      </c>
      <c r="D99" s="3" t="s">
        <v>145</v>
      </c>
    </row>
    <row r="100" spans="1:4" ht="42.75" x14ac:dyDescent="0.45">
      <c r="A100" t="s">
        <v>10</v>
      </c>
      <c r="B100" t="s">
        <v>103</v>
      </c>
      <c r="C100">
        <v>1</v>
      </c>
      <c r="D100" s="3" t="s">
        <v>146</v>
      </c>
    </row>
    <row r="101" spans="1:4" x14ac:dyDescent="0.45">
      <c r="A101" t="s">
        <v>20</v>
      </c>
      <c r="B101" t="s">
        <v>21</v>
      </c>
      <c r="C101">
        <v>5</v>
      </c>
      <c r="D101" s="3" t="s">
        <v>147</v>
      </c>
    </row>
    <row r="102" spans="1:4" ht="42.75" x14ac:dyDescent="0.45">
      <c r="A102" t="s">
        <v>7</v>
      </c>
      <c r="B102" t="s">
        <v>15</v>
      </c>
      <c r="C102">
        <v>4</v>
      </c>
      <c r="D102" s="3" t="s">
        <v>148</v>
      </c>
    </row>
    <row r="103" spans="1:4" ht="42.75" x14ac:dyDescent="0.45">
      <c r="A103" t="s">
        <v>7</v>
      </c>
      <c r="B103" t="s">
        <v>63</v>
      </c>
      <c r="C103">
        <v>3</v>
      </c>
      <c r="D103" s="3" t="s">
        <v>149</v>
      </c>
    </row>
    <row r="104" spans="1:4" ht="42.75" x14ac:dyDescent="0.45">
      <c r="A104" t="s">
        <v>10</v>
      </c>
      <c r="B104" t="s">
        <v>49</v>
      </c>
      <c r="C104">
        <v>1</v>
      </c>
      <c r="D104" s="3" t="s">
        <v>150</v>
      </c>
    </row>
    <row r="105" spans="1:4" ht="42.75" x14ac:dyDescent="0.45">
      <c r="A105" t="s">
        <v>7</v>
      </c>
      <c r="B105" t="s">
        <v>39</v>
      </c>
      <c r="C105">
        <v>3</v>
      </c>
      <c r="D105" s="3" t="s">
        <v>151</v>
      </c>
    </row>
    <row r="106" spans="1:4" ht="28.5" x14ac:dyDescent="0.45">
      <c r="A106" t="s">
        <v>7</v>
      </c>
      <c r="B106" t="s">
        <v>15</v>
      </c>
      <c r="C106">
        <v>3</v>
      </c>
      <c r="D106" s="3" t="s">
        <v>152</v>
      </c>
    </row>
    <row r="107" spans="1:4" ht="28.5" x14ac:dyDescent="0.45">
      <c r="A107" t="s">
        <v>10</v>
      </c>
      <c r="B107" t="s">
        <v>120</v>
      </c>
      <c r="C107">
        <v>4</v>
      </c>
      <c r="D107" s="3" t="s">
        <v>153</v>
      </c>
    </row>
    <row r="108" spans="1:4" ht="28.5" x14ac:dyDescent="0.45">
      <c r="A108" t="s">
        <v>20</v>
      </c>
      <c r="B108" t="s">
        <v>154</v>
      </c>
      <c r="C108">
        <v>4</v>
      </c>
      <c r="D108" s="3" t="s">
        <v>155</v>
      </c>
    </row>
    <row r="109" spans="1:4" ht="42.75" x14ac:dyDescent="0.45">
      <c r="A109" t="s">
        <v>10</v>
      </c>
      <c r="B109" t="s">
        <v>103</v>
      </c>
      <c r="C109">
        <v>3</v>
      </c>
      <c r="D109" s="3" t="s">
        <v>156</v>
      </c>
    </row>
    <row r="110" spans="1:4" ht="28.5" x14ac:dyDescent="0.45">
      <c r="A110" t="s">
        <v>7</v>
      </c>
      <c r="B110" t="s">
        <v>8</v>
      </c>
      <c r="C110">
        <v>1</v>
      </c>
      <c r="D110" s="3" t="s">
        <v>157</v>
      </c>
    </row>
    <row r="111" spans="1:4" ht="42.75" x14ac:dyDescent="0.45">
      <c r="A111" t="s">
        <v>4</v>
      </c>
      <c r="B111" t="s">
        <v>58</v>
      </c>
      <c r="C111">
        <v>1</v>
      </c>
      <c r="D111" s="3" t="s">
        <v>158</v>
      </c>
    </row>
    <row r="112" spans="1:4" ht="42.75" x14ac:dyDescent="0.45">
      <c r="A112" t="s">
        <v>4</v>
      </c>
      <c r="B112" t="s">
        <v>79</v>
      </c>
      <c r="C112">
        <v>5</v>
      </c>
      <c r="D112" s="3" t="s">
        <v>159</v>
      </c>
    </row>
    <row r="113" spans="1:4" ht="28.5" x14ac:dyDescent="0.45">
      <c r="A113" t="s">
        <v>4</v>
      </c>
      <c r="B113" t="s">
        <v>160</v>
      </c>
      <c r="C113">
        <v>3</v>
      </c>
      <c r="D113" s="3" t="s">
        <v>161</v>
      </c>
    </row>
    <row r="114" spans="1:4" ht="42.75" x14ac:dyDescent="0.45">
      <c r="A114" t="s">
        <v>20</v>
      </c>
      <c r="B114" t="s">
        <v>117</v>
      </c>
      <c r="C114">
        <v>5</v>
      </c>
      <c r="D114" s="3" t="s">
        <v>162</v>
      </c>
    </row>
    <row r="115" spans="1:4" x14ac:dyDescent="0.45">
      <c r="A115" t="s">
        <v>20</v>
      </c>
      <c r="B115" t="s">
        <v>41</v>
      </c>
      <c r="C115">
        <v>5</v>
      </c>
      <c r="D115" s="3" t="s">
        <v>163</v>
      </c>
    </row>
    <row r="116" spans="1:4" ht="28.5" x14ac:dyDescent="0.45">
      <c r="A116" t="s">
        <v>7</v>
      </c>
      <c r="B116" t="s">
        <v>164</v>
      </c>
      <c r="C116">
        <v>4</v>
      </c>
      <c r="D116" s="3" t="s">
        <v>165</v>
      </c>
    </row>
    <row r="117" spans="1:4" ht="42.75" x14ac:dyDescent="0.45">
      <c r="A117" t="s">
        <v>4</v>
      </c>
      <c r="B117" t="s">
        <v>55</v>
      </c>
      <c r="C117">
        <v>2</v>
      </c>
      <c r="D117" s="3" t="s">
        <v>166</v>
      </c>
    </row>
    <row r="118" spans="1:4" ht="42.75" x14ac:dyDescent="0.45">
      <c r="A118" t="s">
        <v>20</v>
      </c>
      <c r="B118" t="s">
        <v>23</v>
      </c>
      <c r="C118">
        <v>2</v>
      </c>
      <c r="D118" s="3" t="s">
        <v>167</v>
      </c>
    </row>
    <row r="119" spans="1:4" ht="42.75" x14ac:dyDescent="0.45">
      <c r="A119" t="s">
        <v>7</v>
      </c>
      <c r="B119" t="s">
        <v>85</v>
      </c>
      <c r="C119">
        <v>5</v>
      </c>
      <c r="D119" s="3" t="s">
        <v>168</v>
      </c>
    </row>
    <row r="120" spans="1:4" ht="42.75" x14ac:dyDescent="0.45">
      <c r="A120" t="s">
        <v>10</v>
      </c>
      <c r="B120" t="s">
        <v>92</v>
      </c>
      <c r="C120">
        <v>3</v>
      </c>
      <c r="D120" s="3" t="s">
        <v>169</v>
      </c>
    </row>
    <row r="121" spans="1:4" ht="42.75" x14ac:dyDescent="0.45">
      <c r="A121" t="s">
        <v>10</v>
      </c>
      <c r="B121" t="s">
        <v>92</v>
      </c>
      <c r="C121">
        <v>2</v>
      </c>
      <c r="D121" s="3" t="s">
        <v>170</v>
      </c>
    </row>
    <row r="122" spans="1:4" ht="42.75" x14ac:dyDescent="0.45">
      <c r="A122" t="s">
        <v>20</v>
      </c>
      <c r="B122" t="s">
        <v>108</v>
      </c>
      <c r="C122">
        <v>3</v>
      </c>
      <c r="D122" s="3" t="s">
        <v>171</v>
      </c>
    </row>
    <row r="123" spans="1:4" x14ac:dyDescent="0.45">
      <c r="A123" t="s">
        <v>10</v>
      </c>
      <c r="B123" t="s">
        <v>124</v>
      </c>
      <c r="C123">
        <v>4</v>
      </c>
      <c r="D123" s="3" t="s">
        <v>172</v>
      </c>
    </row>
    <row r="124" spans="1:4" ht="42.75" x14ac:dyDescent="0.45">
      <c r="A124" t="s">
        <v>10</v>
      </c>
      <c r="B124" t="s">
        <v>27</v>
      </c>
      <c r="C124">
        <v>3</v>
      </c>
      <c r="D124" s="3" t="s">
        <v>173</v>
      </c>
    </row>
    <row r="125" spans="1:4" ht="42.75" x14ac:dyDescent="0.45">
      <c r="A125" t="s">
        <v>7</v>
      </c>
      <c r="B125" t="s">
        <v>8</v>
      </c>
      <c r="C125">
        <v>4</v>
      </c>
      <c r="D125" s="3" t="s">
        <v>174</v>
      </c>
    </row>
    <row r="126" spans="1:4" ht="42.75" x14ac:dyDescent="0.45">
      <c r="A126" t="s">
        <v>10</v>
      </c>
      <c r="B126" t="s">
        <v>120</v>
      </c>
      <c r="C126">
        <v>3</v>
      </c>
      <c r="D126" s="3" t="s">
        <v>175</v>
      </c>
    </row>
    <row r="127" spans="1:4" ht="28.5" x14ac:dyDescent="0.45">
      <c r="A127" t="s">
        <v>4</v>
      </c>
      <c r="B127" t="s">
        <v>5</v>
      </c>
      <c r="C127">
        <v>4</v>
      </c>
      <c r="D127" s="3" t="s">
        <v>176</v>
      </c>
    </row>
    <row r="128" spans="1:4" ht="57" x14ac:dyDescent="0.45">
      <c r="A128" t="s">
        <v>4</v>
      </c>
      <c r="B128" t="s">
        <v>5</v>
      </c>
      <c r="C128">
        <v>5</v>
      </c>
      <c r="D128" s="3" t="s">
        <v>177</v>
      </c>
    </row>
    <row r="129" spans="1:4" ht="42.75" x14ac:dyDescent="0.45">
      <c r="A129" t="s">
        <v>4</v>
      </c>
      <c r="B129" t="s">
        <v>51</v>
      </c>
      <c r="C129">
        <v>1</v>
      </c>
      <c r="D129" s="3" t="s">
        <v>178</v>
      </c>
    </row>
    <row r="130" spans="1:4" ht="57" x14ac:dyDescent="0.45">
      <c r="A130" t="s">
        <v>4</v>
      </c>
      <c r="B130" t="s">
        <v>179</v>
      </c>
      <c r="C130">
        <v>4</v>
      </c>
      <c r="D130" s="3" t="s">
        <v>180</v>
      </c>
    </row>
    <row r="131" spans="1:4" ht="57" x14ac:dyDescent="0.45">
      <c r="A131" t="s">
        <v>4</v>
      </c>
      <c r="B131" t="s">
        <v>58</v>
      </c>
      <c r="C131">
        <v>2</v>
      </c>
      <c r="D131" s="3" t="s">
        <v>181</v>
      </c>
    </row>
    <row r="132" spans="1:4" ht="42.75" x14ac:dyDescent="0.45">
      <c r="A132" t="s">
        <v>7</v>
      </c>
      <c r="B132" t="s">
        <v>13</v>
      </c>
      <c r="C132">
        <v>1</v>
      </c>
      <c r="D132" s="3" t="s">
        <v>182</v>
      </c>
    </row>
    <row r="133" spans="1:4" ht="42.75" x14ac:dyDescent="0.45">
      <c r="A133" t="s">
        <v>20</v>
      </c>
      <c r="B133" t="s">
        <v>46</v>
      </c>
      <c r="C133">
        <v>1</v>
      </c>
      <c r="D133" s="3" t="s">
        <v>183</v>
      </c>
    </row>
    <row r="134" spans="1:4" ht="42.75" x14ac:dyDescent="0.45">
      <c r="A134" t="s">
        <v>10</v>
      </c>
      <c r="B134" t="s">
        <v>49</v>
      </c>
      <c r="C134">
        <v>2</v>
      </c>
      <c r="D134" s="3" t="s">
        <v>184</v>
      </c>
    </row>
    <row r="135" spans="1:4" ht="28.5" x14ac:dyDescent="0.45">
      <c r="A135" t="s">
        <v>4</v>
      </c>
      <c r="B135" t="s">
        <v>160</v>
      </c>
      <c r="C135">
        <v>4</v>
      </c>
      <c r="D135" s="3" t="s">
        <v>185</v>
      </c>
    </row>
    <row r="136" spans="1:4" ht="42.75" x14ac:dyDescent="0.45">
      <c r="A136" t="s">
        <v>20</v>
      </c>
      <c r="B136" t="s">
        <v>108</v>
      </c>
      <c r="C136">
        <v>4</v>
      </c>
      <c r="D136" s="3" t="s">
        <v>186</v>
      </c>
    </row>
    <row r="137" spans="1:4" ht="42.75" x14ac:dyDescent="0.45">
      <c r="A137" t="s">
        <v>20</v>
      </c>
      <c r="B137" t="s">
        <v>21</v>
      </c>
      <c r="C137">
        <v>4</v>
      </c>
      <c r="D137" s="3" t="s">
        <v>187</v>
      </c>
    </row>
    <row r="138" spans="1:4" ht="42.75" x14ac:dyDescent="0.45">
      <c r="A138" t="s">
        <v>4</v>
      </c>
      <c r="B138" t="s">
        <v>188</v>
      </c>
      <c r="C138">
        <v>5</v>
      </c>
      <c r="D138" s="3" t="s">
        <v>189</v>
      </c>
    </row>
    <row r="139" spans="1:4" ht="42.75" x14ac:dyDescent="0.45">
      <c r="A139" t="s">
        <v>20</v>
      </c>
      <c r="B139" t="s">
        <v>46</v>
      </c>
      <c r="C139">
        <v>5</v>
      </c>
      <c r="D139" s="3" t="s">
        <v>190</v>
      </c>
    </row>
    <row r="140" spans="1:4" ht="42.75" x14ac:dyDescent="0.45">
      <c r="A140" t="s">
        <v>7</v>
      </c>
      <c r="B140" t="s">
        <v>191</v>
      </c>
      <c r="C140">
        <v>2</v>
      </c>
      <c r="D140" s="3" t="s">
        <v>192</v>
      </c>
    </row>
    <row r="141" spans="1:4" ht="57" x14ac:dyDescent="0.45">
      <c r="A141" t="s">
        <v>4</v>
      </c>
      <c r="B141" t="s">
        <v>58</v>
      </c>
      <c r="C141">
        <v>4</v>
      </c>
      <c r="D141" s="3" t="s">
        <v>193</v>
      </c>
    </row>
    <row r="142" spans="1:4" ht="28.5" x14ac:dyDescent="0.45">
      <c r="A142" t="s">
        <v>7</v>
      </c>
      <c r="B142" t="s">
        <v>164</v>
      </c>
      <c r="C142">
        <v>3</v>
      </c>
      <c r="D142" s="3" t="s">
        <v>194</v>
      </c>
    </row>
    <row r="143" spans="1:4" ht="28.5" x14ac:dyDescent="0.45">
      <c r="A143" t="s">
        <v>10</v>
      </c>
      <c r="B143" t="s">
        <v>100</v>
      </c>
      <c r="C143">
        <v>3</v>
      </c>
      <c r="D143" s="3" t="s">
        <v>195</v>
      </c>
    </row>
    <row r="144" spans="1:4" ht="71.25" x14ac:dyDescent="0.45">
      <c r="A144" t="s">
        <v>4</v>
      </c>
      <c r="B144" t="s">
        <v>55</v>
      </c>
      <c r="C144">
        <v>5</v>
      </c>
      <c r="D144" s="3" t="s">
        <v>196</v>
      </c>
    </row>
    <row r="145" spans="1:4" ht="42.75" x14ac:dyDescent="0.45">
      <c r="A145" t="s">
        <v>20</v>
      </c>
      <c r="B145" t="s">
        <v>90</v>
      </c>
      <c r="C145">
        <v>4</v>
      </c>
      <c r="D145" s="3" t="s">
        <v>197</v>
      </c>
    </row>
    <row r="146" spans="1:4" ht="42.75" x14ac:dyDescent="0.45">
      <c r="A146" t="s">
        <v>10</v>
      </c>
      <c r="B146" t="s">
        <v>124</v>
      </c>
      <c r="C146">
        <v>2</v>
      </c>
      <c r="D146" s="3" t="s">
        <v>198</v>
      </c>
    </row>
    <row r="147" spans="1:4" ht="42.75" x14ac:dyDescent="0.45">
      <c r="A147" t="s">
        <v>4</v>
      </c>
      <c r="B147" t="s">
        <v>18</v>
      </c>
      <c r="C147">
        <v>3</v>
      </c>
      <c r="D147" s="3" t="s">
        <v>199</v>
      </c>
    </row>
    <row r="148" spans="1:4" ht="28.5" x14ac:dyDescent="0.45">
      <c r="A148" t="s">
        <v>7</v>
      </c>
      <c r="B148" t="s">
        <v>191</v>
      </c>
      <c r="C148">
        <v>3</v>
      </c>
      <c r="D148" s="3" t="s">
        <v>200</v>
      </c>
    </row>
    <row r="149" spans="1:4" ht="42.75" x14ac:dyDescent="0.45">
      <c r="A149" t="s">
        <v>10</v>
      </c>
      <c r="B149" t="s">
        <v>124</v>
      </c>
      <c r="C149">
        <v>4</v>
      </c>
      <c r="D149" s="3" t="s">
        <v>201</v>
      </c>
    </row>
    <row r="150" spans="1:4" ht="42.75" x14ac:dyDescent="0.45">
      <c r="A150" t="s">
        <v>4</v>
      </c>
      <c r="B150" t="s">
        <v>179</v>
      </c>
      <c r="C150">
        <v>3</v>
      </c>
      <c r="D150" s="3" t="s">
        <v>202</v>
      </c>
    </row>
    <row r="151" spans="1:4" ht="28.5" x14ac:dyDescent="0.45">
      <c r="A151" t="s">
        <v>20</v>
      </c>
      <c r="B151" t="s">
        <v>41</v>
      </c>
      <c r="C151">
        <v>3</v>
      </c>
      <c r="D151" s="3" t="s">
        <v>203</v>
      </c>
    </row>
    <row r="152" spans="1:4" ht="42.75" x14ac:dyDescent="0.45">
      <c r="A152" t="s">
        <v>10</v>
      </c>
      <c r="B152" t="s">
        <v>115</v>
      </c>
      <c r="C152">
        <v>4</v>
      </c>
      <c r="D152" s="3" t="s">
        <v>204</v>
      </c>
    </row>
    <row r="153" spans="1:4" x14ac:dyDescent="0.45">
      <c r="A153" t="s">
        <v>20</v>
      </c>
      <c r="B153" t="s">
        <v>46</v>
      </c>
      <c r="C153">
        <v>4</v>
      </c>
      <c r="D153" s="3" t="s">
        <v>205</v>
      </c>
    </row>
    <row r="154" spans="1:4" ht="57" x14ac:dyDescent="0.45">
      <c r="A154" t="s">
        <v>4</v>
      </c>
      <c r="B154" t="s">
        <v>51</v>
      </c>
      <c r="C154">
        <v>2</v>
      </c>
      <c r="D154" s="3" t="s">
        <v>206</v>
      </c>
    </row>
    <row r="155" spans="1:4" ht="28.5" x14ac:dyDescent="0.45">
      <c r="A155" t="s">
        <v>7</v>
      </c>
      <c r="B155" t="s">
        <v>29</v>
      </c>
      <c r="C155">
        <v>4</v>
      </c>
      <c r="D155" s="3" t="s">
        <v>207</v>
      </c>
    </row>
    <row r="156" spans="1:4" ht="42.75" x14ac:dyDescent="0.45">
      <c r="A156" t="s">
        <v>20</v>
      </c>
      <c r="B156" t="s">
        <v>31</v>
      </c>
      <c r="C156">
        <v>2</v>
      </c>
      <c r="D156" s="3" t="s">
        <v>208</v>
      </c>
    </row>
    <row r="157" spans="1:4" ht="42.75" x14ac:dyDescent="0.45">
      <c r="A157" t="s">
        <v>4</v>
      </c>
      <c r="B157" t="s">
        <v>58</v>
      </c>
      <c r="C157">
        <v>3</v>
      </c>
      <c r="D157" s="3" t="s">
        <v>209</v>
      </c>
    </row>
    <row r="158" spans="1:4" ht="42.75" x14ac:dyDescent="0.45">
      <c r="A158" t="s">
        <v>4</v>
      </c>
      <c r="B158" t="s">
        <v>18</v>
      </c>
      <c r="C158">
        <v>2</v>
      </c>
      <c r="D158" s="3" t="s">
        <v>210</v>
      </c>
    </row>
    <row r="159" spans="1:4" ht="57" x14ac:dyDescent="0.45">
      <c r="A159" t="s">
        <v>4</v>
      </c>
      <c r="B159" t="s">
        <v>55</v>
      </c>
      <c r="C159">
        <v>3</v>
      </c>
      <c r="D159" s="3" t="s">
        <v>211</v>
      </c>
    </row>
    <row r="160" spans="1:4" ht="42.75" x14ac:dyDescent="0.45">
      <c r="A160" t="s">
        <v>7</v>
      </c>
      <c r="B160" t="s">
        <v>34</v>
      </c>
      <c r="C160">
        <v>1</v>
      </c>
      <c r="D160" s="3" t="s">
        <v>212</v>
      </c>
    </row>
    <row r="161" spans="1:4" ht="42.75" x14ac:dyDescent="0.45">
      <c r="A161" t="s">
        <v>4</v>
      </c>
      <c r="B161" t="s">
        <v>5</v>
      </c>
      <c r="C161">
        <v>4</v>
      </c>
      <c r="D161" s="3" t="s">
        <v>213</v>
      </c>
    </row>
    <row r="162" spans="1:4" ht="42.75" x14ac:dyDescent="0.45">
      <c r="A162" t="s">
        <v>4</v>
      </c>
      <c r="B162" t="s">
        <v>51</v>
      </c>
      <c r="C162">
        <v>5</v>
      </c>
      <c r="D162" s="3" t="s">
        <v>214</v>
      </c>
    </row>
    <row r="163" spans="1:4" ht="42.75" x14ac:dyDescent="0.45">
      <c r="A163" t="s">
        <v>4</v>
      </c>
      <c r="B163" t="s">
        <v>18</v>
      </c>
      <c r="C163">
        <v>4</v>
      </c>
      <c r="D163" s="3" t="s">
        <v>215</v>
      </c>
    </row>
    <row r="164" spans="1:4" ht="42.75" x14ac:dyDescent="0.45">
      <c r="A164" t="s">
        <v>7</v>
      </c>
      <c r="B164" t="s">
        <v>15</v>
      </c>
      <c r="C164">
        <v>5</v>
      </c>
      <c r="D164" s="3" t="s">
        <v>216</v>
      </c>
    </row>
    <row r="165" spans="1:4" ht="42.75" x14ac:dyDescent="0.45">
      <c r="A165" t="s">
        <v>20</v>
      </c>
      <c r="B165" t="s">
        <v>108</v>
      </c>
      <c r="C165">
        <v>5</v>
      </c>
      <c r="D165" s="3" t="s">
        <v>217</v>
      </c>
    </row>
    <row r="166" spans="1:4" ht="28.5" x14ac:dyDescent="0.45">
      <c r="A166" t="s">
        <v>7</v>
      </c>
      <c r="B166" t="s">
        <v>191</v>
      </c>
      <c r="C166">
        <v>3</v>
      </c>
      <c r="D166" s="3" t="s">
        <v>218</v>
      </c>
    </row>
    <row r="167" spans="1:4" ht="42.75" x14ac:dyDescent="0.45">
      <c r="A167" t="s">
        <v>7</v>
      </c>
      <c r="B167" t="s">
        <v>13</v>
      </c>
      <c r="C167">
        <v>5</v>
      </c>
      <c r="D167" s="3" t="s">
        <v>219</v>
      </c>
    </row>
    <row r="168" spans="1:4" ht="42.75" x14ac:dyDescent="0.45">
      <c r="A168" t="s">
        <v>7</v>
      </c>
      <c r="B168" t="s">
        <v>220</v>
      </c>
      <c r="C168">
        <v>4</v>
      </c>
      <c r="D168" s="3" t="s">
        <v>221</v>
      </c>
    </row>
    <row r="169" spans="1:4" ht="42.75" x14ac:dyDescent="0.45">
      <c r="A169" t="s">
        <v>4</v>
      </c>
      <c r="B169" t="s">
        <v>188</v>
      </c>
      <c r="C169">
        <v>4</v>
      </c>
      <c r="D169" s="3" t="s">
        <v>222</v>
      </c>
    </row>
    <row r="170" spans="1:4" ht="42.75" x14ac:dyDescent="0.45">
      <c r="A170" t="s">
        <v>20</v>
      </c>
      <c r="B170" t="s">
        <v>61</v>
      </c>
      <c r="C170">
        <v>2</v>
      </c>
      <c r="D170" s="3" t="s">
        <v>223</v>
      </c>
    </row>
    <row r="171" spans="1:4" ht="42.75" x14ac:dyDescent="0.45">
      <c r="A171" t="s">
        <v>4</v>
      </c>
      <c r="B171" t="s">
        <v>65</v>
      </c>
      <c r="C171">
        <v>5</v>
      </c>
      <c r="D171" s="3" t="s">
        <v>224</v>
      </c>
    </row>
    <row r="172" spans="1:4" ht="42.75" x14ac:dyDescent="0.45">
      <c r="A172" t="s">
        <v>20</v>
      </c>
      <c r="B172" t="s">
        <v>108</v>
      </c>
      <c r="C172">
        <v>4</v>
      </c>
      <c r="D172" s="3" t="s">
        <v>225</v>
      </c>
    </row>
    <row r="173" spans="1:4" ht="57" x14ac:dyDescent="0.45">
      <c r="A173" t="s">
        <v>20</v>
      </c>
      <c r="B173" t="s">
        <v>21</v>
      </c>
      <c r="C173">
        <v>2</v>
      </c>
      <c r="D173" s="3" t="s">
        <v>226</v>
      </c>
    </row>
    <row r="174" spans="1:4" ht="42.75" x14ac:dyDescent="0.45">
      <c r="A174" t="s">
        <v>10</v>
      </c>
      <c r="B174" t="s">
        <v>124</v>
      </c>
      <c r="C174">
        <v>3</v>
      </c>
      <c r="D174" s="3" t="s">
        <v>227</v>
      </c>
    </row>
    <row r="175" spans="1:4" x14ac:dyDescent="0.45">
      <c r="A175" t="s">
        <v>7</v>
      </c>
      <c r="B175" t="s">
        <v>8</v>
      </c>
      <c r="C175">
        <v>5</v>
      </c>
      <c r="D175" s="3" t="s">
        <v>228</v>
      </c>
    </row>
    <row r="176" spans="1:4" ht="42.75" x14ac:dyDescent="0.45">
      <c r="A176" t="s">
        <v>20</v>
      </c>
      <c r="B176" t="s">
        <v>21</v>
      </c>
      <c r="C176">
        <v>5</v>
      </c>
      <c r="D176" s="3" t="s">
        <v>229</v>
      </c>
    </row>
    <row r="177" spans="1:4" ht="42.75" x14ac:dyDescent="0.45">
      <c r="A177" t="s">
        <v>7</v>
      </c>
      <c r="B177" t="s">
        <v>74</v>
      </c>
      <c r="C177">
        <v>5</v>
      </c>
      <c r="D177" s="3" t="s">
        <v>230</v>
      </c>
    </row>
    <row r="178" spans="1:4" x14ac:dyDescent="0.45">
      <c r="A178" t="s">
        <v>4</v>
      </c>
      <c r="B178" t="s">
        <v>5</v>
      </c>
      <c r="C178">
        <v>5</v>
      </c>
      <c r="D178" s="3" t="s">
        <v>231</v>
      </c>
    </row>
    <row r="179" spans="1:4" ht="42.75" x14ac:dyDescent="0.45">
      <c r="A179" t="s">
        <v>4</v>
      </c>
      <c r="B179" t="s">
        <v>53</v>
      </c>
      <c r="C179">
        <v>1</v>
      </c>
      <c r="D179" s="3" t="s">
        <v>232</v>
      </c>
    </row>
    <row r="180" spans="1:4" ht="28.5" x14ac:dyDescent="0.45">
      <c r="A180" t="s">
        <v>4</v>
      </c>
      <c r="B180" t="s">
        <v>79</v>
      </c>
      <c r="C180">
        <v>3</v>
      </c>
      <c r="D180" s="3" t="s">
        <v>233</v>
      </c>
    </row>
    <row r="181" spans="1:4" ht="28.5" x14ac:dyDescent="0.45">
      <c r="A181" t="s">
        <v>4</v>
      </c>
      <c r="B181" t="s">
        <v>160</v>
      </c>
      <c r="C181">
        <v>2</v>
      </c>
      <c r="D181" s="3" t="s">
        <v>234</v>
      </c>
    </row>
    <row r="182" spans="1:4" ht="42.75" x14ac:dyDescent="0.45">
      <c r="A182" t="s">
        <v>10</v>
      </c>
      <c r="B182" t="s">
        <v>11</v>
      </c>
      <c r="C182">
        <v>2</v>
      </c>
      <c r="D182" s="3" t="s">
        <v>235</v>
      </c>
    </row>
    <row r="183" spans="1:4" ht="42.75" x14ac:dyDescent="0.45">
      <c r="A183" t="s">
        <v>20</v>
      </c>
      <c r="B183" t="s">
        <v>21</v>
      </c>
      <c r="C183">
        <v>5</v>
      </c>
      <c r="D183" s="3" t="s">
        <v>236</v>
      </c>
    </row>
    <row r="184" spans="1:4" ht="42.75" x14ac:dyDescent="0.45">
      <c r="A184" t="s">
        <v>20</v>
      </c>
      <c r="B184" t="s">
        <v>154</v>
      </c>
      <c r="C184">
        <v>4</v>
      </c>
      <c r="D184" s="3" t="s">
        <v>237</v>
      </c>
    </row>
    <row r="185" spans="1:4" ht="57" x14ac:dyDescent="0.45">
      <c r="A185" t="s">
        <v>20</v>
      </c>
      <c r="B185" t="s">
        <v>46</v>
      </c>
      <c r="C185">
        <v>4</v>
      </c>
      <c r="D185" s="3" t="s">
        <v>238</v>
      </c>
    </row>
    <row r="186" spans="1:4" ht="42.75" x14ac:dyDescent="0.45">
      <c r="A186" t="s">
        <v>10</v>
      </c>
      <c r="B186" t="s">
        <v>49</v>
      </c>
      <c r="C186">
        <v>3</v>
      </c>
      <c r="D186" s="3" t="s">
        <v>239</v>
      </c>
    </row>
    <row r="187" spans="1:4" ht="28.5" x14ac:dyDescent="0.45">
      <c r="A187" t="s">
        <v>4</v>
      </c>
      <c r="B187" t="s">
        <v>188</v>
      </c>
      <c r="C187">
        <v>3</v>
      </c>
      <c r="D187" s="3" t="s">
        <v>240</v>
      </c>
    </row>
    <row r="188" spans="1:4" x14ac:dyDescent="0.45">
      <c r="A188" t="s">
        <v>7</v>
      </c>
      <c r="B188" t="s">
        <v>74</v>
      </c>
      <c r="C188">
        <v>4</v>
      </c>
      <c r="D188" s="3" t="s">
        <v>241</v>
      </c>
    </row>
    <row r="189" spans="1:4" ht="42.75" x14ac:dyDescent="0.45">
      <c r="A189" t="s">
        <v>20</v>
      </c>
      <c r="B189" t="s">
        <v>21</v>
      </c>
      <c r="C189">
        <v>3</v>
      </c>
      <c r="D189" s="3" t="s">
        <v>242</v>
      </c>
    </row>
    <row r="190" spans="1:4" x14ac:dyDescent="0.45">
      <c r="A190" t="s">
        <v>4</v>
      </c>
      <c r="B190" t="s">
        <v>55</v>
      </c>
      <c r="C190">
        <v>3</v>
      </c>
      <c r="D190" s="3" t="s">
        <v>243</v>
      </c>
    </row>
    <row r="191" spans="1:4" ht="28.5" x14ac:dyDescent="0.45">
      <c r="A191" t="s">
        <v>4</v>
      </c>
      <c r="B191" t="s">
        <v>179</v>
      </c>
      <c r="C191">
        <v>3</v>
      </c>
      <c r="D191" s="3" t="s">
        <v>244</v>
      </c>
    </row>
    <row r="192" spans="1:4" ht="42.75" x14ac:dyDescent="0.45">
      <c r="A192" t="s">
        <v>4</v>
      </c>
      <c r="B192" t="s">
        <v>55</v>
      </c>
      <c r="C192">
        <v>4</v>
      </c>
      <c r="D192" s="3" t="s">
        <v>245</v>
      </c>
    </row>
    <row r="193" spans="1:4" ht="42.75" x14ac:dyDescent="0.45">
      <c r="A193" t="s">
        <v>7</v>
      </c>
      <c r="B193" t="s">
        <v>39</v>
      </c>
      <c r="C193">
        <v>5</v>
      </c>
      <c r="D193" s="3" t="s">
        <v>246</v>
      </c>
    </row>
    <row r="194" spans="1:4" ht="42.75" x14ac:dyDescent="0.45">
      <c r="A194" t="s">
        <v>20</v>
      </c>
      <c r="B194" t="s">
        <v>23</v>
      </c>
      <c r="C194">
        <v>5</v>
      </c>
      <c r="D194" s="3" t="s">
        <v>247</v>
      </c>
    </row>
    <row r="195" spans="1:4" ht="42.75" x14ac:dyDescent="0.45">
      <c r="A195" t="s">
        <v>7</v>
      </c>
      <c r="B195" t="s">
        <v>191</v>
      </c>
      <c r="C195">
        <v>5</v>
      </c>
      <c r="D195" s="3" t="s">
        <v>248</v>
      </c>
    </row>
    <row r="196" spans="1:4" ht="28.5" x14ac:dyDescent="0.45">
      <c r="A196" t="s">
        <v>7</v>
      </c>
      <c r="B196" t="s">
        <v>220</v>
      </c>
      <c r="C196">
        <v>3</v>
      </c>
      <c r="D196" s="3" t="s">
        <v>249</v>
      </c>
    </row>
    <row r="197" spans="1:4" ht="28.5" x14ac:dyDescent="0.45">
      <c r="A197" t="s">
        <v>4</v>
      </c>
      <c r="B197" t="s">
        <v>65</v>
      </c>
      <c r="C197">
        <v>4</v>
      </c>
      <c r="D197" s="3" t="s">
        <v>250</v>
      </c>
    </row>
    <row r="198" spans="1:4" ht="42.75" x14ac:dyDescent="0.45">
      <c r="A198" t="s">
        <v>10</v>
      </c>
      <c r="B198" t="s">
        <v>115</v>
      </c>
      <c r="C198">
        <v>2</v>
      </c>
      <c r="D198" s="3" t="s">
        <v>251</v>
      </c>
    </row>
    <row r="199" spans="1:4" ht="42.75" x14ac:dyDescent="0.45">
      <c r="A199" t="s">
        <v>20</v>
      </c>
      <c r="B199" t="s">
        <v>46</v>
      </c>
      <c r="C199">
        <v>3</v>
      </c>
      <c r="D199" s="3" t="s">
        <v>252</v>
      </c>
    </row>
    <row r="200" spans="1:4" ht="42.75" x14ac:dyDescent="0.45">
      <c r="A200" t="s">
        <v>4</v>
      </c>
      <c r="B200" t="s">
        <v>55</v>
      </c>
      <c r="C200">
        <v>2</v>
      </c>
      <c r="D200" s="3" t="s">
        <v>253</v>
      </c>
    </row>
    <row r="201" spans="1:4" ht="42.75" x14ac:dyDescent="0.45">
      <c r="A201" t="s">
        <v>10</v>
      </c>
      <c r="B201" t="s">
        <v>11</v>
      </c>
      <c r="C201">
        <v>3</v>
      </c>
      <c r="D201" s="3" t="s">
        <v>254</v>
      </c>
    </row>
    <row r="202" spans="1:4" ht="42.75" x14ac:dyDescent="0.45">
      <c r="A202" t="s">
        <v>4</v>
      </c>
      <c r="B202" t="s">
        <v>5</v>
      </c>
      <c r="C202">
        <v>2</v>
      </c>
      <c r="D202" s="3" t="s">
        <v>255</v>
      </c>
    </row>
    <row r="203" spans="1:4" ht="42.75" x14ac:dyDescent="0.45">
      <c r="A203" t="s">
        <v>20</v>
      </c>
      <c r="B203" t="s">
        <v>256</v>
      </c>
      <c r="C203">
        <v>5</v>
      </c>
      <c r="D203" s="3" t="s">
        <v>257</v>
      </c>
    </row>
    <row r="204" spans="1:4" ht="57" x14ac:dyDescent="0.45">
      <c r="A204" t="s">
        <v>4</v>
      </c>
      <c r="B204" t="s">
        <v>51</v>
      </c>
      <c r="C204">
        <v>5</v>
      </c>
      <c r="D204" s="3" t="s">
        <v>258</v>
      </c>
    </row>
    <row r="205" spans="1:4" ht="42.75" x14ac:dyDescent="0.45">
      <c r="A205" t="s">
        <v>20</v>
      </c>
      <c r="B205" t="s">
        <v>21</v>
      </c>
      <c r="C205">
        <v>4</v>
      </c>
      <c r="D205" s="3" t="s">
        <v>259</v>
      </c>
    </row>
    <row r="206" spans="1:4" ht="42.75" x14ac:dyDescent="0.45">
      <c r="A206" t="s">
        <v>4</v>
      </c>
      <c r="B206" t="s">
        <v>18</v>
      </c>
      <c r="C206">
        <v>5</v>
      </c>
      <c r="D206" s="3" t="s">
        <v>260</v>
      </c>
    </row>
    <row r="207" spans="1:4" ht="42.75" x14ac:dyDescent="0.45">
      <c r="A207" t="s">
        <v>20</v>
      </c>
      <c r="B207" t="s">
        <v>154</v>
      </c>
      <c r="C207">
        <v>2</v>
      </c>
      <c r="D207" s="3" t="s">
        <v>261</v>
      </c>
    </row>
    <row r="208" spans="1:4" ht="42.75" x14ac:dyDescent="0.45">
      <c r="A208" t="s">
        <v>7</v>
      </c>
      <c r="B208" t="s">
        <v>39</v>
      </c>
      <c r="C208">
        <v>2</v>
      </c>
      <c r="D208" s="3" t="s">
        <v>262</v>
      </c>
    </row>
    <row r="209" spans="1:4" ht="42.75" x14ac:dyDescent="0.45">
      <c r="A209" t="s">
        <v>10</v>
      </c>
      <c r="B209" t="s">
        <v>49</v>
      </c>
      <c r="C209">
        <v>5</v>
      </c>
      <c r="D209" s="3" t="s">
        <v>263</v>
      </c>
    </row>
    <row r="210" spans="1:4" ht="42.75" x14ac:dyDescent="0.45">
      <c r="A210" t="s">
        <v>10</v>
      </c>
      <c r="B210" t="s">
        <v>27</v>
      </c>
      <c r="C210">
        <v>4</v>
      </c>
      <c r="D210" s="3" t="s">
        <v>264</v>
      </c>
    </row>
    <row r="211" spans="1:4" ht="28.5" x14ac:dyDescent="0.45">
      <c r="A211" t="s">
        <v>10</v>
      </c>
      <c r="B211" t="s">
        <v>100</v>
      </c>
      <c r="C211">
        <v>4</v>
      </c>
      <c r="D211" s="3" t="s">
        <v>265</v>
      </c>
    </row>
    <row r="212" spans="1:4" ht="28.5" x14ac:dyDescent="0.45">
      <c r="A212" t="s">
        <v>7</v>
      </c>
      <c r="B212" t="s">
        <v>85</v>
      </c>
      <c r="C212">
        <v>5</v>
      </c>
      <c r="D212" s="3" t="s">
        <v>266</v>
      </c>
    </row>
    <row r="213" spans="1:4" ht="28.5" x14ac:dyDescent="0.45">
      <c r="A213" t="s">
        <v>10</v>
      </c>
      <c r="B213" t="s">
        <v>81</v>
      </c>
      <c r="C213">
        <v>3</v>
      </c>
      <c r="D213" s="3" t="s">
        <v>267</v>
      </c>
    </row>
    <row r="214" spans="1:4" ht="42.75" x14ac:dyDescent="0.45">
      <c r="A214" t="s">
        <v>4</v>
      </c>
      <c r="B214" t="s">
        <v>51</v>
      </c>
      <c r="C214">
        <v>5</v>
      </c>
      <c r="D214" s="3" t="s">
        <v>268</v>
      </c>
    </row>
    <row r="215" spans="1:4" ht="57" x14ac:dyDescent="0.45">
      <c r="A215" t="s">
        <v>4</v>
      </c>
      <c r="B215" t="s">
        <v>87</v>
      </c>
      <c r="C215">
        <v>5</v>
      </c>
      <c r="D215" s="3" t="s">
        <v>269</v>
      </c>
    </row>
    <row r="216" spans="1:4" ht="42.75" x14ac:dyDescent="0.45">
      <c r="A216" t="s">
        <v>20</v>
      </c>
      <c r="B216" t="s">
        <v>41</v>
      </c>
      <c r="C216">
        <v>5</v>
      </c>
      <c r="D216" s="3" t="s">
        <v>270</v>
      </c>
    </row>
    <row r="217" spans="1:4" ht="28.5" x14ac:dyDescent="0.45">
      <c r="A217" t="s">
        <v>10</v>
      </c>
      <c r="B217" t="s">
        <v>25</v>
      </c>
      <c r="C217">
        <v>4</v>
      </c>
      <c r="D217" s="3" t="s">
        <v>271</v>
      </c>
    </row>
    <row r="218" spans="1:4" ht="42.75" x14ac:dyDescent="0.45">
      <c r="A218" t="s">
        <v>7</v>
      </c>
      <c r="B218" t="s">
        <v>13</v>
      </c>
      <c r="C218">
        <v>2</v>
      </c>
      <c r="D218" s="3" t="s">
        <v>272</v>
      </c>
    </row>
    <row r="219" spans="1:4" ht="42.75" x14ac:dyDescent="0.45">
      <c r="A219" t="s">
        <v>4</v>
      </c>
      <c r="B219" t="s">
        <v>87</v>
      </c>
      <c r="C219">
        <v>2</v>
      </c>
      <c r="D219" s="3" t="s">
        <v>273</v>
      </c>
    </row>
    <row r="220" spans="1:4" ht="28.5" x14ac:dyDescent="0.45">
      <c r="A220" t="s">
        <v>4</v>
      </c>
      <c r="B220" t="s">
        <v>53</v>
      </c>
      <c r="C220">
        <v>4</v>
      </c>
      <c r="D220" s="3" t="s">
        <v>274</v>
      </c>
    </row>
    <row r="221" spans="1:4" ht="42.75" x14ac:dyDescent="0.45">
      <c r="A221" t="s">
        <v>10</v>
      </c>
      <c r="B221" t="s">
        <v>103</v>
      </c>
      <c r="C221">
        <v>5</v>
      </c>
      <c r="D221" s="3" t="s">
        <v>275</v>
      </c>
    </row>
    <row r="222" spans="1:4" ht="42.75" x14ac:dyDescent="0.45">
      <c r="A222" t="s">
        <v>10</v>
      </c>
      <c r="B222" t="s">
        <v>98</v>
      </c>
      <c r="C222">
        <v>5</v>
      </c>
      <c r="D222" s="3" t="s">
        <v>276</v>
      </c>
    </row>
    <row r="223" spans="1:4" ht="42.75" x14ac:dyDescent="0.45">
      <c r="A223" t="s">
        <v>7</v>
      </c>
      <c r="B223" t="s">
        <v>191</v>
      </c>
      <c r="C223">
        <v>4</v>
      </c>
      <c r="D223" s="3" t="s">
        <v>277</v>
      </c>
    </row>
    <row r="224" spans="1:4" ht="28.5" x14ac:dyDescent="0.45">
      <c r="A224" t="s">
        <v>20</v>
      </c>
      <c r="B224" t="s">
        <v>117</v>
      </c>
      <c r="C224">
        <v>4</v>
      </c>
      <c r="D224" s="3" t="s">
        <v>278</v>
      </c>
    </row>
    <row r="225" spans="1:4" ht="28.5" x14ac:dyDescent="0.45">
      <c r="A225" t="s">
        <v>7</v>
      </c>
      <c r="B225" t="s">
        <v>85</v>
      </c>
      <c r="C225">
        <v>4</v>
      </c>
      <c r="D225" s="3" t="s">
        <v>279</v>
      </c>
    </row>
    <row r="226" spans="1:4" ht="42.75" x14ac:dyDescent="0.45">
      <c r="A226" t="s">
        <v>20</v>
      </c>
      <c r="B226" t="s">
        <v>108</v>
      </c>
      <c r="C226">
        <v>5</v>
      </c>
      <c r="D226" s="3" t="s">
        <v>280</v>
      </c>
    </row>
    <row r="227" spans="1:4" ht="42.75" x14ac:dyDescent="0.45">
      <c r="A227" t="s">
        <v>20</v>
      </c>
      <c r="B227" t="s">
        <v>23</v>
      </c>
      <c r="C227">
        <v>4</v>
      </c>
      <c r="D227" s="3" t="s">
        <v>281</v>
      </c>
    </row>
    <row r="228" spans="1:4" ht="42.75" x14ac:dyDescent="0.45">
      <c r="A228" t="s">
        <v>7</v>
      </c>
      <c r="B228" t="s">
        <v>39</v>
      </c>
      <c r="C228">
        <v>4</v>
      </c>
      <c r="D228" s="3" t="s">
        <v>282</v>
      </c>
    </row>
    <row r="229" spans="1:4" ht="42.75" x14ac:dyDescent="0.45">
      <c r="A229" t="s">
        <v>20</v>
      </c>
      <c r="B229" t="s">
        <v>46</v>
      </c>
      <c r="C229">
        <v>2</v>
      </c>
      <c r="D229" s="3" t="s">
        <v>283</v>
      </c>
    </row>
    <row r="230" spans="1:4" ht="28.5" x14ac:dyDescent="0.45">
      <c r="A230" t="s">
        <v>20</v>
      </c>
      <c r="B230" t="s">
        <v>256</v>
      </c>
      <c r="C230">
        <v>4</v>
      </c>
      <c r="D230" s="3" t="s">
        <v>284</v>
      </c>
    </row>
    <row r="231" spans="1:4" ht="28.5" x14ac:dyDescent="0.45">
      <c r="A231" t="s">
        <v>20</v>
      </c>
      <c r="B231" t="s">
        <v>41</v>
      </c>
      <c r="C231">
        <v>4</v>
      </c>
      <c r="D231" s="3" t="s">
        <v>285</v>
      </c>
    </row>
    <row r="232" spans="1:4" ht="28.5" x14ac:dyDescent="0.45">
      <c r="A232" t="s">
        <v>20</v>
      </c>
      <c r="B232" t="s">
        <v>256</v>
      </c>
      <c r="C232">
        <v>3</v>
      </c>
      <c r="D232" s="3" t="s">
        <v>286</v>
      </c>
    </row>
    <row r="233" spans="1:4" ht="28.5" x14ac:dyDescent="0.45">
      <c r="A233" t="s">
        <v>7</v>
      </c>
      <c r="B233" t="s">
        <v>191</v>
      </c>
      <c r="C233">
        <v>5</v>
      </c>
      <c r="D233" s="3" t="s">
        <v>287</v>
      </c>
    </row>
    <row r="234" spans="1:4" ht="57" x14ac:dyDescent="0.45">
      <c r="A234" t="s">
        <v>4</v>
      </c>
      <c r="B234" t="s">
        <v>87</v>
      </c>
      <c r="C234">
        <v>5</v>
      </c>
      <c r="D234" s="3" t="s">
        <v>288</v>
      </c>
    </row>
    <row r="235" spans="1:4" ht="42.75" x14ac:dyDescent="0.45">
      <c r="A235" t="s">
        <v>4</v>
      </c>
      <c r="B235" t="s">
        <v>79</v>
      </c>
      <c r="C235">
        <v>5</v>
      </c>
      <c r="D235" s="3" t="s">
        <v>289</v>
      </c>
    </row>
    <row r="236" spans="1:4" ht="28.5" x14ac:dyDescent="0.45">
      <c r="A236" t="s">
        <v>10</v>
      </c>
      <c r="B236" t="s">
        <v>98</v>
      </c>
      <c r="C236">
        <v>4</v>
      </c>
      <c r="D236" s="3" t="s">
        <v>290</v>
      </c>
    </row>
    <row r="237" spans="1:4" ht="42.75" x14ac:dyDescent="0.45">
      <c r="A237" t="s">
        <v>20</v>
      </c>
      <c r="B237" t="s">
        <v>31</v>
      </c>
      <c r="C237">
        <v>4</v>
      </c>
      <c r="D237" s="3" t="s">
        <v>291</v>
      </c>
    </row>
    <row r="238" spans="1:4" ht="28.5" x14ac:dyDescent="0.45">
      <c r="A238" t="s">
        <v>4</v>
      </c>
      <c r="B238" t="s">
        <v>87</v>
      </c>
      <c r="C238">
        <v>4</v>
      </c>
      <c r="D238" s="3" t="s">
        <v>292</v>
      </c>
    </row>
    <row r="239" spans="1:4" ht="57" x14ac:dyDescent="0.45">
      <c r="A239" t="s">
        <v>20</v>
      </c>
      <c r="B239" t="s">
        <v>41</v>
      </c>
      <c r="C239">
        <v>5</v>
      </c>
      <c r="D239" s="3" t="s">
        <v>293</v>
      </c>
    </row>
    <row r="240" spans="1:4" ht="42.75" x14ac:dyDescent="0.45">
      <c r="A240" t="s">
        <v>20</v>
      </c>
      <c r="B240" t="s">
        <v>31</v>
      </c>
      <c r="C240">
        <v>5</v>
      </c>
      <c r="D240" s="3" t="s">
        <v>294</v>
      </c>
    </row>
    <row r="241" spans="1:4" ht="57" x14ac:dyDescent="0.45">
      <c r="A241" t="s">
        <v>20</v>
      </c>
      <c r="B241" t="s">
        <v>46</v>
      </c>
      <c r="C241">
        <v>4</v>
      </c>
      <c r="D241" s="3" t="s">
        <v>295</v>
      </c>
    </row>
    <row r="242" spans="1:4" ht="42.75" x14ac:dyDescent="0.45">
      <c r="A242" t="s">
        <v>10</v>
      </c>
      <c r="B242" t="s">
        <v>81</v>
      </c>
      <c r="C242">
        <v>4</v>
      </c>
      <c r="D242" s="3" t="s">
        <v>296</v>
      </c>
    </row>
    <row r="243" spans="1:4" ht="42.75" x14ac:dyDescent="0.45">
      <c r="A243" t="s">
        <v>7</v>
      </c>
      <c r="B243" t="s">
        <v>220</v>
      </c>
      <c r="C243">
        <v>5</v>
      </c>
      <c r="D243" s="3" t="s">
        <v>297</v>
      </c>
    </row>
    <row r="244" spans="1:4" ht="42.75" x14ac:dyDescent="0.45">
      <c r="A244" t="s">
        <v>4</v>
      </c>
      <c r="B244" t="s">
        <v>53</v>
      </c>
      <c r="C244">
        <v>3</v>
      </c>
      <c r="D244" s="3" t="s">
        <v>298</v>
      </c>
    </row>
    <row r="245" spans="1:4" ht="42.75" x14ac:dyDescent="0.45">
      <c r="A245" t="s">
        <v>20</v>
      </c>
      <c r="B245" t="s">
        <v>23</v>
      </c>
      <c r="C245">
        <v>1</v>
      </c>
      <c r="D245" s="3" t="s">
        <v>299</v>
      </c>
    </row>
    <row r="246" spans="1:4" ht="42.75" x14ac:dyDescent="0.45">
      <c r="A246" t="s">
        <v>4</v>
      </c>
      <c r="B246" t="s">
        <v>160</v>
      </c>
      <c r="C246">
        <v>5</v>
      </c>
      <c r="D246" s="3" t="s">
        <v>300</v>
      </c>
    </row>
    <row r="247" spans="1:4" x14ac:dyDescent="0.45">
      <c r="A247" t="s">
        <v>10</v>
      </c>
      <c r="B247" t="s">
        <v>115</v>
      </c>
      <c r="C247">
        <v>3</v>
      </c>
      <c r="D247" s="3" t="s">
        <v>301</v>
      </c>
    </row>
    <row r="248" spans="1:4" ht="28.5" x14ac:dyDescent="0.45">
      <c r="A248" t="s">
        <v>7</v>
      </c>
      <c r="B248" t="s">
        <v>164</v>
      </c>
      <c r="C248">
        <v>2</v>
      </c>
      <c r="D248" s="3" t="s">
        <v>302</v>
      </c>
    </row>
    <row r="249" spans="1:4" ht="28.5" x14ac:dyDescent="0.45">
      <c r="A249" t="s">
        <v>7</v>
      </c>
      <c r="B249" t="s">
        <v>74</v>
      </c>
      <c r="C249">
        <v>5</v>
      </c>
      <c r="D249" s="3" t="s">
        <v>303</v>
      </c>
    </row>
    <row r="250" spans="1:4" ht="28.5" x14ac:dyDescent="0.45">
      <c r="A250" t="s">
        <v>7</v>
      </c>
      <c r="B250" t="s">
        <v>63</v>
      </c>
      <c r="C250">
        <v>3</v>
      </c>
      <c r="D250" s="3" t="s">
        <v>304</v>
      </c>
    </row>
    <row r="251" spans="1:4" ht="42.75" x14ac:dyDescent="0.45">
      <c r="A251" t="s">
        <v>7</v>
      </c>
      <c r="B251" t="s">
        <v>13</v>
      </c>
      <c r="C251">
        <v>4</v>
      </c>
      <c r="D251" s="3" t="s">
        <v>305</v>
      </c>
    </row>
    <row r="252" spans="1:4" ht="42.75" x14ac:dyDescent="0.45">
      <c r="A252" t="s">
        <v>4</v>
      </c>
      <c r="B252" t="s">
        <v>179</v>
      </c>
      <c r="C252">
        <v>2</v>
      </c>
      <c r="D252" s="3" t="s">
        <v>306</v>
      </c>
    </row>
    <row r="253" spans="1:4" x14ac:dyDescent="0.45">
      <c r="A253" t="s">
        <v>7</v>
      </c>
      <c r="B253" t="s">
        <v>191</v>
      </c>
      <c r="C253">
        <v>4</v>
      </c>
      <c r="D253" s="3" t="s">
        <v>307</v>
      </c>
    </row>
    <row r="254" spans="1:4" ht="42.75" x14ac:dyDescent="0.45">
      <c r="A254" t="s">
        <v>10</v>
      </c>
      <c r="B254" t="s">
        <v>120</v>
      </c>
      <c r="C254">
        <v>5</v>
      </c>
      <c r="D254" s="3" t="s">
        <v>308</v>
      </c>
    </row>
    <row r="255" spans="1:4" ht="42.75" x14ac:dyDescent="0.45">
      <c r="A255" t="s">
        <v>7</v>
      </c>
      <c r="B255" t="s">
        <v>43</v>
      </c>
      <c r="C255">
        <v>4</v>
      </c>
      <c r="D255" s="3" t="s">
        <v>309</v>
      </c>
    </row>
    <row r="256" spans="1:4" ht="57" x14ac:dyDescent="0.45">
      <c r="A256" t="s">
        <v>4</v>
      </c>
      <c r="B256" t="s">
        <v>55</v>
      </c>
      <c r="C256">
        <v>5</v>
      </c>
      <c r="D256" s="3" t="s">
        <v>310</v>
      </c>
    </row>
    <row r="257" spans="1:4" ht="57" x14ac:dyDescent="0.45">
      <c r="A257" t="s">
        <v>20</v>
      </c>
      <c r="B257" t="s">
        <v>23</v>
      </c>
      <c r="C257">
        <v>5</v>
      </c>
      <c r="D257" s="3" t="s">
        <v>311</v>
      </c>
    </row>
    <row r="258" spans="1:4" x14ac:dyDescent="0.45">
      <c r="A258" t="s">
        <v>10</v>
      </c>
      <c r="B258" t="s">
        <v>103</v>
      </c>
      <c r="C258">
        <v>4</v>
      </c>
      <c r="D258" s="3" t="s">
        <v>312</v>
      </c>
    </row>
    <row r="259" spans="1:4" ht="42.75" x14ac:dyDescent="0.45">
      <c r="A259" t="s">
        <v>7</v>
      </c>
      <c r="B259" t="s">
        <v>13</v>
      </c>
      <c r="C259">
        <v>3</v>
      </c>
      <c r="D259" s="3" t="s">
        <v>313</v>
      </c>
    </row>
    <row r="260" spans="1:4" x14ac:dyDescent="0.45">
      <c r="A260" t="s">
        <v>7</v>
      </c>
      <c r="B260" t="s">
        <v>13</v>
      </c>
      <c r="C260">
        <v>5</v>
      </c>
      <c r="D260" s="3" t="s">
        <v>314</v>
      </c>
    </row>
    <row r="261" spans="1:4" ht="42.75" x14ac:dyDescent="0.45">
      <c r="A261" t="s">
        <v>10</v>
      </c>
      <c r="B261" t="s">
        <v>124</v>
      </c>
      <c r="C261">
        <v>3</v>
      </c>
      <c r="D261" s="3" t="s">
        <v>315</v>
      </c>
    </row>
    <row r="262" spans="1:4" ht="42.75" x14ac:dyDescent="0.45">
      <c r="A262" t="s">
        <v>10</v>
      </c>
      <c r="B262" t="s">
        <v>81</v>
      </c>
      <c r="C262">
        <v>5</v>
      </c>
      <c r="D262" s="3" t="s">
        <v>316</v>
      </c>
    </row>
    <row r="263" spans="1:4" ht="28.5" x14ac:dyDescent="0.45">
      <c r="A263" t="s">
        <v>4</v>
      </c>
      <c r="B263" t="s">
        <v>188</v>
      </c>
      <c r="C263">
        <v>2</v>
      </c>
      <c r="D263" s="3" t="s">
        <v>317</v>
      </c>
    </row>
    <row r="264" spans="1:4" ht="28.5" x14ac:dyDescent="0.45">
      <c r="A264" t="s">
        <v>7</v>
      </c>
      <c r="B264" t="s">
        <v>34</v>
      </c>
      <c r="C264">
        <v>2</v>
      </c>
      <c r="D264" s="3" t="s">
        <v>318</v>
      </c>
    </row>
    <row r="265" spans="1:4" ht="42.75" x14ac:dyDescent="0.45">
      <c r="A265" t="s">
        <v>7</v>
      </c>
      <c r="B265" t="s">
        <v>29</v>
      </c>
      <c r="C265">
        <v>2</v>
      </c>
      <c r="D265" s="3" t="s">
        <v>319</v>
      </c>
    </row>
    <row r="266" spans="1:4" ht="42.75" x14ac:dyDescent="0.45">
      <c r="A266" t="s">
        <v>4</v>
      </c>
      <c r="B266" t="s">
        <v>53</v>
      </c>
      <c r="C266">
        <v>4</v>
      </c>
      <c r="D266" s="3" t="s">
        <v>320</v>
      </c>
    </row>
    <row r="267" spans="1:4" ht="42.75" x14ac:dyDescent="0.45">
      <c r="A267" t="s">
        <v>7</v>
      </c>
      <c r="B267" t="s">
        <v>13</v>
      </c>
      <c r="C267">
        <v>4</v>
      </c>
      <c r="D267" s="3" t="s">
        <v>321</v>
      </c>
    </row>
    <row r="268" spans="1:4" ht="57" x14ac:dyDescent="0.45">
      <c r="A268" t="s">
        <v>10</v>
      </c>
      <c r="B268" t="s">
        <v>103</v>
      </c>
      <c r="C268">
        <v>5</v>
      </c>
      <c r="D268" s="3" t="s">
        <v>322</v>
      </c>
    </row>
    <row r="269" spans="1:4" ht="42.75" x14ac:dyDescent="0.45">
      <c r="A269" t="s">
        <v>7</v>
      </c>
      <c r="B269" t="s">
        <v>39</v>
      </c>
      <c r="C269">
        <v>4</v>
      </c>
      <c r="D269" s="3" t="s">
        <v>323</v>
      </c>
    </row>
    <row r="270" spans="1:4" ht="28.5" x14ac:dyDescent="0.45">
      <c r="A270" t="s">
        <v>10</v>
      </c>
      <c r="B270" t="s">
        <v>115</v>
      </c>
      <c r="C270">
        <v>3</v>
      </c>
      <c r="D270" s="3" t="s">
        <v>324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C8D37-C826-49AC-8AE8-254FD48FF68A}">
  <dimension ref="A1:D193"/>
  <sheetViews>
    <sheetView tabSelected="1" topLeftCell="A94" zoomScale="60" zoomScaleNormal="60" workbookViewId="0">
      <selection activeCell="A84" sqref="A84"/>
    </sheetView>
  </sheetViews>
  <sheetFormatPr defaultRowHeight="14.25" x14ac:dyDescent="0.45"/>
  <cols>
    <col min="1" max="1" width="43.33203125" customWidth="1"/>
    <col min="2" max="2" width="44.59765625" customWidth="1"/>
    <col min="4" max="4" width="46.59765625" style="3" customWidth="1"/>
  </cols>
  <sheetData>
    <row r="1" spans="1:4" x14ac:dyDescent="0.45">
      <c r="A1" t="str" cm="1">
        <f t="array" ref="A1:D6">_xlfn._xlws.PY(0,0,reviews[#All])</f>
        <v>product_category</v>
      </c>
      <c r="B1" t="str">
        <v>product_name</v>
      </c>
      <c r="C1" t="str">
        <v>rating</v>
      </c>
      <c r="D1" s="3" t="str">
        <v>review</v>
      </c>
    </row>
    <row r="2" spans="1:4" ht="71.25" x14ac:dyDescent="0.45">
      <c r="A2" t="str">
        <v>Electronics</v>
      </c>
      <c r="B2" t="str">
        <v>Adjustable Laptop Stand</v>
      </c>
      <c r="C2">
        <v>5</v>
      </c>
      <c r="D2" s="3" t="str">
        <v>Wonderfull purchase. My neck pain from working at a laptop all day disappeared within a week of using this stand. The aluminum construction feels solid and the hinge holds any angle I set it to without drifting. Folds flat for travel.</v>
      </c>
    </row>
    <row r="3" spans="1:4" ht="57" x14ac:dyDescent="0.45">
      <c r="A3" t="str">
        <v>Clothing</v>
      </c>
      <c r="B3" t="str">
        <v>Waterproof Rain Jacket</v>
      </c>
      <c r="C3">
        <v>2</v>
      </c>
      <c r="D3" s="3" t="str">
        <v>The jacket is water resistant at best, not waterproof as advertised. During a steady rain I got damp underneath within about 20 minutes. Fine for a quick dash to the car but not for extended outdoor use.</v>
      </c>
    </row>
    <row r="4" spans="1:4" ht="57" x14ac:dyDescent="0.45">
      <c r="A4" t="str">
        <v>Home</v>
      </c>
      <c r="B4" t="str">
        <v>Soy Wax Scented Candle</v>
      </c>
      <c r="C4">
        <v>4</v>
      </c>
      <c r="D4" s="3" t="str">
        <v>Lovely candle. The scent throw is good — I can smell it from the next room when it's been burning for a while. My only complaint is that the jar gets quite hot so I have to be careful where I place it.</v>
      </c>
    </row>
    <row r="5" spans="1:4" ht="71.25" x14ac:dyDescent="0.45">
      <c r="A5" t="str">
        <v>Clothing</v>
      </c>
      <c r="B5" t="str">
        <v>Travel Backpack</v>
      </c>
      <c r="C5">
        <v>5</v>
      </c>
      <c r="D5" s="3" t="str">
        <v>Speical backpack. Fits a ton of stuff for its size and the organization pockets are genuinely useful — I can find everything without digging. The laptop sleeve is padded enough to feel safe and the straps distribute weight evenly.</v>
      </c>
    </row>
    <row r="6" spans="1:4" ht="42.75" x14ac:dyDescent="0.45">
      <c r="A6" t="str">
        <v>Clothing</v>
      </c>
      <c r="B6" t="str">
        <v>Merino Wool Hiking Socks</v>
      </c>
      <c r="C6">
        <v>4</v>
      </c>
      <c r="D6" s="3" t="str">
        <v>Comfortable on long hikes. I haven't had any hot spots or blisters. They do take a while to dry if they get fully wet though.</v>
      </c>
    </row>
    <row r="9" spans="1:4" x14ac:dyDescent="0.45">
      <c r="A9" s="3" t="str" cm="1">
        <f t="array" ref="A9:B12">_xlfn._xlws.PY(1,0)</f>
        <v>review</v>
      </c>
      <c r="B9" s="3" t="str">
        <v>review_clean</v>
      </c>
    </row>
    <row r="10" spans="1:4" ht="71.25" x14ac:dyDescent="0.45">
      <c r="A10" s="3" t="str">
        <v>Wonderfull purchase. My neck pain from working at a laptop all day disappeared within a week of using this stand. The aluminum construction feels solid and the hinge holds any angle I set it to without drifting. Folds flat for travel.</v>
      </c>
      <c r="B10" s="3" t="str">
        <v>wonderfull purchase. my neck pain from working at a laptop all day disappeared within a week of using this stand. the aluminum construction feels solid and the hinge holds any angle i set it to without drifting. folds flat for travel.</v>
      </c>
    </row>
    <row r="11" spans="1:4" ht="57" x14ac:dyDescent="0.45">
      <c r="A11" s="3" t="str">
        <v>The jacket is water resistant at best, not waterproof as advertised. During a steady rain I got damp underneath within about 20 minutes. Fine for a quick dash to the car but not for extended outdoor use.</v>
      </c>
      <c r="B11" s="3" t="str">
        <v>the jacket is water resistant at best, not waterproof as advertised. during a steady rain i got damp underneath within about 20 minutes. fine for a quick dash to the car but not for extended outdoor use.</v>
      </c>
    </row>
    <row r="12" spans="1:4" ht="57" x14ac:dyDescent="0.45">
      <c r="A12" s="3" t="str">
        <v>Lovely candle. The scent throw is good — I can smell it from the next room when it's been burning for a while. My only complaint is that the jar gets quite hot so I have to be careful where I place it.</v>
      </c>
      <c r="B12" s="3" t="str">
        <v>lovely candle. the scent throw is good — i can smell it from the next room when it's been burning for a while. my only complaint is that the jar gets quite hot so i have to be careful where i place it.</v>
      </c>
    </row>
    <row r="13" spans="1:4" x14ac:dyDescent="0.45">
      <c r="A13" s="3"/>
      <c r="B13" s="3"/>
    </row>
    <row r="14" spans="1:4" x14ac:dyDescent="0.45">
      <c r="A14" s="3" t="str" cm="1">
        <f t="array" ref="A14:C19">_xlfn._xlws.PY(2,0)</f>
        <v>review_clean</v>
      </c>
      <c r="B14" t="str">
        <v>compound</v>
      </c>
      <c r="C14" t="str">
        <v>sentiment</v>
      </c>
    </row>
    <row r="15" spans="1:4" ht="71.25" x14ac:dyDescent="0.45">
      <c r="A15" s="3" t="str">
        <v>wonderfull purchase. my neck pain from working at a laptop all day disappeared within a week of using this stand. the aluminum construction feels solid and the hinge holds any angle i set it to without drifting. folds flat for travel.</v>
      </c>
      <c r="B15" s="4">
        <v>-0.55740000000000001</v>
      </c>
      <c r="C15" t="str">
        <v>negative</v>
      </c>
    </row>
    <row r="16" spans="1:4" ht="57" x14ac:dyDescent="0.45">
      <c r="A16" s="3" t="str">
        <v>the jacket is water resistant at best, not waterproof as advertised. during a steady rain i got damp underneath within about 20 minutes. fine for a quick dash to the car but not for extended outdoor use.</v>
      </c>
      <c r="B16" s="4">
        <v>0.45879999999999999</v>
      </c>
      <c r="C16" t="str">
        <v>positive</v>
      </c>
    </row>
    <row r="17" spans="1:3" ht="57" x14ac:dyDescent="0.45">
      <c r="A17" s="3" t="str">
        <v>lovely candle. the scent throw is good — i can smell it from the next room when it's been burning for a while. my only complaint is that the jar gets quite hot so i have to be careful where i place it.</v>
      </c>
      <c r="B17" s="4">
        <v>0.72689999999999999</v>
      </c>
      <c r="C17" t="str">
        <v>positive</v>
      </c>
    </row>
    <row r="18" spans="1:3" ht="71.25" x14ac:dyDescent="0.45">
      <c r="A18" s="3" t="str">
        <v>speical backpack. fits a ton of stuff for its size and the organization pockets are genuinely useful — i can find everything without digging. the laptop sleeve is padded enough to feel safe and the straps distribute weight evenly.</v>
      </c>
      <c r="B18" s="4">
        <v>0.70030000000000003</v>
      </c>
      <c r="C18" t="str">
        <v>positive</v>
      </c>
    </row>
    <row r="19" spans="1:3" ht="42.75" x14ac:dyDescent="0.45">
      <c r="A19" s="3" t="str">
        <v>comfortable on long hikes. i haven't had any hot spots or blisters. they do take a while to dry if they get fully wet though.</v>
      </c>
      <c r="B19" s="4">
        <v>0.51060000000000005</v>
      </c>
      <c r="C19" t="str">
        <v>positive</v>
      </c>
    </row>
    <row r="27" spans="1:3" x14ac:dyDescent="0.45">
      <c r="A27" t="e" cm="1" vm="1">
        <f t="array" ref="A27">_xlfn._xlws.PY(3,0)</f>
        <v>#VALUE!</v>
      </c>
    </row>
    <row r="39" spans="1:1" x14ac:dyDescent="0.45">
      <c r="A39" t="e" cm="1" vm="2">
        <f t="array" ref="A39">_xlfn._xlws.PY(4,0)</f>
        <v>#VALUE!</v>
      </c>
    </row>
    <row r="55" spans="1:1" x14ac:dyDescent="0.45">
      <c r="A55" t="str" cm="1">
        <f t="array" ref="A55:A65">_xlfn._xlws.PY(5,0)</f>
        <v>tokens</v>
      </c>
    </row>
    <row r="56" spans="1:1" x14ac:dyDescent="0.45">
      <c r="A56" t="str">
        <v>wonderfull</v>
      </c>
    </row>
    <row r="57" spans="1:1" x14ac:dyDescent="0.45">
      <c r="A57" t="str">
        <v>purchase</v>
      </c>
    </row>
    <row r="58" spans="1:1" x14ac:dyDescent="0.45">
      <c r="A58" t="str">
        <v>neck</v>
      </c>
    </row>
    <row r="59" spans="1:1" x14ac:dyDescent="0.45">
      <c r="A59" t="str">
        <v>pain</v>
      </c>
    </row>
    <row r="60" spans="1:1" x14ac:dyDescent="0.45">
      <c r="A60" t="str">
        <v>working</v>
      </c>
    </row>
    <row r="61" spans="1:1" x14ac:dyDescent="0.45">
      <c r="A61" t="str">
        <v>laptop</v>
      </c>
    </row>
    <row r="62" spans="1:1" x14ac:dyDescent="0.45">
      <c r="A62" t="str">
        <v>day</v>
      </c>
    </row>
    <row r="63" spans="1:1" x14ac:dyDescent="0.45">
      <c r="A63" t="str">
        <v>disappeared</v>
      </c>
    </row>
    <row r="64" spans="1:1" x14ac:dyDescent="0.45">
      <c r="A64" t="str">
        <v>within</v>
      </c>
    </row>
    <row r="65" spans="1:2" x14ac:dyDescent="0.45">
      <c r="A65" t="str">
        <v>week</v>
      </c>
    </row>
    <row r="68" spans="1:2" x14ac:dyDescent="0.45">
      <c r="A68" t="str" cm="1">
        <f t="array" ref="A68:B78">_xlfn._xlws.PY(6,0)</f>
        <v>word</v>
      </c>
      <c r="B68" t="str">
        <v>count</v>
      </c>
    </row>
    <row r="69" spans="1:2" x14ac:dyDescent="0.45">
      <c r="A69" t="str">
        <v>good</v>
      </c>
      <c r="B69">
        <v>38</v>
      </c>
    </row>
    <row r="70" spans="1:2" x14ac:dyDescent="0.45">
      <c r="A70" t="str">
        <v>works</v>
      </c>
      <c r="B70">
        <v>26</v>
      </c>
    </row>
    <row r="71" spans="1:2" x14ac:dyDescent="0.45">
      <c r="A71" t="str">
        <v>enough</v>
      </c>
      <c r="B71">
        <v>21</v>
      </c>
    </row>
    <row r="72" spans="1:2" x14ac:dyDescent="0.45">
      <c r="A72" t="str">
        <v>without</v>
      </c>
      <c r="B72">
        <v>20</v>
      </c>
    </row>
    <row r="73" spans="1:2" x14ac:dyDescent="0.45">
      <c r="A73" t="str">
        <v>fine</v>
      </c>
      <c r="B73">
        <v>20</v>
      </c>
    </row>
    <row r="74" spans="1:2" x14ac:dyDescent="0.45">
      <c r="A74" t="str">
        <v>great</v>
      </c>
      <c r="B74">
        <v>18</v>
      </c>
    </row>
    <row r="75" spans="1:2" x14ac:dyDescent="0.45">
      <c r="A75" t="str">
        <v>use</v>
      </c>
      <c r="B75">
        <v>18</v>
      </c>
    </row>
    <row r="76" spans="1:2" x14ac:dyDescent="0.45">
      <c r="A76" t="str">
        <v>expected</v>
      </c>
      <c r="B76">
        <v>18</v>
      </c>
    </row>
    <row r="77" spans="1:2" x14ac:dyDescent="0.45">
      <c r="A77" t="str">
        <v>warm</v>
      </c>
      <c r="B77">
        <v>17</v>
      </c>
    </row>
    <row r="78" spans="1:2" x14ac:dyDescent="0.45">
      <c r="A78" t="str">
        <v>one</v>
      </c>
      <c r="B78">
        <v>16</v>
      </c>
    </row>
    <row r="80" spans="1:2" x14ac:dyDescent="0.45">
      <c r="A80" t="e" cm="1" vm="3">
        <f t="array" ref="A80">_xlfn._xlws.PY(7,1)</f>
        <v>#VALUE!</v>
      </c>
    </row>
    <row r="84" spans="1:1" x14ac:dyDescent="0.45">
      <c r="A84" t="e" cm="1" vm="4">
        <f t="array" ref="A84">_xlfn._xlws.PY(8,0)</f>
        <v>#VALUE!</v>
      </c>
    </row>
    <row r="133" spans="1:3" x14ac:dyDescent="0.45">
      <c r="A133" t="str" cm="1">
        <f t="array" ref="A133:C143">_xlfn._xlws.PY(9,0)</f>
        <v/>
      </c>
      <c r="B133" t="str">
        <v>term</v>
      </c>
      <c r="C133" s="5" t="str">
        <v>tfidf_score</v>
      </c>
    </row>
    <row r="134" spans="1:3" x14ac:dyDescent="0.45">
      <c r="A134">
        <v>7</v>
      </c>
      <c r="B134" t="str">
        <v>use</v>
      </c>
      <c r="C134" s="5">
        <v>0.1342965108401537</v>
      </c>
    </row>
    <row r="135" spans="1:3" x14ac:dyDescent="0.45">
      <c r="A135">
        <v>4</v>
      </c>
      <c r="B135" t="str">
        <v>good</v>
      </c>
      <c r="C135" s="5">
        <v>0.12112288412711421</v>
      </c>
    </row>
    <row r="136" spans="1:3" x14ac:dyDescent="0.45">
      <c r="A136">
        <v>8</v>
      </c>
      <c r="B136" t="str">
        <v>ve</v>
      </c>
      <c r="C136" s="5">
        <v>9.3458794007170262E-2</v>
      </c>
    </row>
    <row r="137" spans="1:3" x14ac:dyDescent="0.45">
      <c r="A137">
        <v>1</v>
      </c>
      <c r="B137" t="str">
        <v>expected</v>
      </c>
      <c r="C137" s="5">
        <v>8.591450104638905E-2</v>
      </c>
    </row>
    <row r="138" spans="1:3" x14ac:dyDescent="0.45">
      <c r="A138">
        <v>2</v>
      </c>
      <c r="B138" t="str">
        <v>fine</v>
      </c>
      <c r="C138" s="5">
        <v>8.4462865623648603E-2</v>
      </c>
    </row>
    <row r="139" spans="1:3" x14ac:dyDescent="0.45">
      <c r="A139">
        <v>9</v>
      </c>
      <c r="B139" t="str">
        <v>works</v>
      </c>
      <c r="C139" s="5">
        <v>8.2781363122761048E-2</v>
      </c>
    </row>
    <row r="140" spans="1:3" x14ac:dyDescent="0.45">
      <c r="A140">
        <v>5</v>
      </c>
      <c r="B140" t="str">
        <v>great</v>
      </c>
      <c r="C140" s="5">
        <v>7.2733192664300075E-2</v>
      </c>
    </row>
    <row r="141" spans="1:3" x14ac:dyDescent="0.45">
      <c r="A141">
        <v>0</v>
      </c>
      <c r="B141" t="str">
        <v>doesn</v>
      </c>
      <c r="C141" s="5">
        <v>6.0310046552266523E-2</v>
      </c>
    </row>
    <row r="142" spans="1:3" x14ac:dyDescent="0.45">
      <c r="A142">
        <v>6</v>
      </c>
      <c r="B142" t="str">
        <v>quality</v>
      </c>
      <c r="C142" s="5">
        <v>5.7756006347849144E-2</v>
      </c>
    </row>
    <row r="143" spans="1:3" x14ac:dyDescent="0.45">
      <c r="A143">
        <v>3</v>
      </c>
      <c r="B143" t="str">
        <v>fit</v>
      </c>
      <c r="C143" s="5">
        <v>5.5274745427059707E-2</v>
      </c>
    </row>
    <row r="146" spans="1:1" x14ac:dyDescent="0.45">
      <c r="A146" t="e" cm="1" vm="5">
        <f t="array" ref="A146">_xlfn._xlws.PY(10,0)</f>
        <v>#VALUE!</v>
      </c>
    </row>
    <row r="167" spans="1:1" x14ac:dyDescent="0.45">
      <c r="A167" t="e" cm="1" vm="6">
        <f t="array" ref="A167">_xlfn._xlws.PY(11,0)</f>
        <v>#VALUE!</v>
      </c>
    </row>
    <row r="193" spans="1:1" x14ac:dyDescent="0.45">
      <c r="A193" t="e" cm="1" vm="7">
        <f t="array" ref="A193">_xlfn._xlws.PY(12,0)</f>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reviews_analysis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Mount</dc:creator>
  <cp:lastModifiedBy>George Mount</cp:lastModifiedBy>
  <dcterms:created xsi:type="dcterms:W3CDTF">2026-04-07T16:10:07Z</dcterms:created>
  <dcterms:modified xsi:type="dcterms:W3CDTF">2026-07-22T17:55:29Z</dcterms:modified>
</cp:coreProperties>
</file>