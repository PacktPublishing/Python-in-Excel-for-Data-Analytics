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4_eda\"/>
    </mc:Choice>
  </mc:AlternateContent>
  <xr:revisionPtr revIDLastSave="0" documentId="13_ncr:1_{70B004FD-9DF2-462B-893C-D6490057C83A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data" sheetId="1" r:id="rId1"/>
    <sheet name="ed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 a="1"/>
  <c r="K1" i="1" s="1"/>
  <c r="A1" i="2" s="1" a="1"/>
  <c r="A1" i="2" s="1"/>
  <c r="A14" i="2" s="1" a="1"/>
  <c r="A14" i="2" s="1"/>
  <c r="A21" i="2" s="1" a="1"/>
  <c r="A21" i="2" s="1"/>
  <c r="A23" i="2" s="1" a="1"/>
  <c r="A23" i="2" s="1"/>
  <c r="A25" i="2" l="1" a="1"/>
  <c r="A25" i="2" s="1"/>
  <c r="A33" i="2" s="1" a="1"/>
  <c r="A33" i="2" s="1"/>
  <c r="A39" i="2" s="1" a="1"/>
  <c r="A39" i="2" s="1"/>
  <c r="A46" i="2" s="1" a="1"/>
  <c r="A46" i="2" s="1"/>
  <c r="A54" i="2" s="1" a="1"/>
  <c r="A54" i="2" s="1"/>
  <c r="A74" i="2" a="1"/>
  <c r="A74" i="2" s="1"/>
  <c r="A89" i="2" s="1" a="1"/>
  <c r="A89" i="2" s="1"/>
  <c r="A95" i="2" a="1"/>
  <c r="A9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mpg_df = xl(%P2%, headers=True)</code>
    </pythonScript>
    <pythonScript>
      <code># Build a quality summary for each column
quality = pd.DataFrame({
    "dtype": mpg_df.dtypes,
    "non_null": mpg_df.count(),
    "null_count": mpg_df.isna().sum(),
    "null_pct": (mpg_df.isna().sum() / len(mpg_df) * 100).round(1),
    "unique": mpg_df.nunique()
})
quality</code>
    </pythonScript>
    <pythonScript>
      <code># Remove rows where horsepower is missing
mpg_clean = mpg_df.dropna(subset=["horsepower"])
mpg_clean.head()</code>
    </pythonScript>
    <pythonScript>
      <code xml:space="preserve"># Remove rows where horsepower is missing  
mpg_clean = mpg_df.dropna(subset=["horsepower"])  
before_count = len(mpg_df)  
after_count = len(mpg_clean)  
removed_count = before_count - after_count  
f"Before: {before_count} rows, After: {after_count} rows, Removed: {removed_count}" </code>
    </pythonScript>
    <pythonScript>
      <code>median_hp = mpg_df["horsepower"].median()
mpg_df["horsepower"] = mpg_df["horsepower"].fillna(median_hp)
# Verify the fill worked
"Median horsepower: " + str(median_hp) + ", Missing after fill: " + str(mpg_df["horsepower"].isna().sum())</code>
    </pythonScript>
    <pythonScript>
      <code># Create era categories using pd.cut()
mpg_df["era"] = pd.cut(
    mpg_df["model_year"],
    bins=[69, 73, 76, 82],
    labels=["Early 1970s", "Mid 1970s", "Late 70s/Early 80s"]
)
mpg_df[["name", "model_year", "era"]].head()</code>
    </pythonScript>
    <pythonScript>
      <code># Calculate power-to-weight ratio
mpg_df["power_to_weight"] = (mpg_df["horsepower"] / mpg_df["weight"] * 1000).round(2)
mpg_df[["name", "horsepower", "weight", "power_to_weight"]].head(10)
# Average power to weight ratio by origin
mpg_df.groupby("origin")["power_to_weight"].mean().round(2)</code>
    </pythonScript>
    <pythonScript>
      <code># Cross-tabulate origin and cylinders
ct = pd.crosstab(mpg_df["origin"], mpg_df["cylinders"])
ct</code>
    </pythonScript>
    <pythonScript>
      <code># Cross-tabulate with row percentages
ct_pct = pd.crosstab(
    mpg_df["origin"], mpg_df["cylinders"],
    normalize="index"
).round(3) 
ct_pct</code>
    </pythonScript>
    <pythonScript>
      <code># Calculate mean MPG by origin and era
grouped = mpg_df.groupby(["origin", "era"])["mpg"].mean().reset_index()
grouped
plt.figure(figsize=(9, 5))
sns.barplot(x="era", y="mpg", hue="origin", data=grouped)
plt.title("Average MPG by Era and Origin")
plt.xlabel("Era")
plt.ylabel("Average Miles per Gallon")</code>
    </pythonScript>
    <pythonScript>
      <code>plt.figure(figsize=(8, 5))
sns.boxplot(x="origin", y="mpg", data=mpg_df, color="lightblue")
sns.stripplot(x="origin", y="mpg", data=mpg_df,
              color="black", alpha=0.4, jitter=True, size=4)
plt.title("MPG by Origin with Individual Observations")
plt.xlabel("Origin")
plt.ylabel("Miles per Gallon")</code>
    </pythonScript>
    <pythonScript>
      <code xml:space="preserve"># Focus on American vehicles 
usa = mpg_df[mpg_df["origin"] == "usa"] 
# Calculate IQR for mpg 
q1 = usa["mpg"].quantile(0.25) 
q3 = usa["mpg"].quantile(0.75) 
iqr = q3 - q1 
# Define outlier boundaries 
lower_bound = q1 - 1.5 * iqr 
upper_bound = q3 + 1.5 * iqr 
# Find outliers 
outliers = usa[(usa["mpg"] &lt; lower_bound) | (usa["mpg"] &gt; upper_bound)] 
outliers[["name", "mpg", "cylinders", "horsepower", "weight", "model_year"]] </code>
    </pythonScript>
    <pythonScript>
      <code>mpg_df["outlier"] = (mpg_df["origin"] == "usa") &amp; (mpg_df["mpg"] &gt; upper_bound)
plt.figure(figsize=(9, 6))
sns.scatterplot(
    x="weight", y="mpg", hue="outlier", data=mpg_df,
    palette={False: "steelblue", True: "red"},
    alpha=0.6, style="outlier",
    markers={False: "o", True: "X"}, s=60
)
plt.title("Weight vs. MPG with High-MPG American Outliers Highlighted")
plt.xlabel("Vehicle Weight (lbs)")
plt.ylabel("Miles per Gallon")
plt.legend(title="High-MPG Outlier", labels=["No", "Yes"])</code>
    </pythonScript>
  </pythonScripts>
</python>
</file>

<file path=xl/sharedStrings.xml><?xml version="1.0" encoding="utf-8"?>
<sst xmlns="http://schemas.openxmlformats.org/spreadsheetml/2006/main" count="805" uniqueCount="317">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</sst>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905934</xdr:colOff>
      <xdr:row>52</xdr:row>
      <xdr:rowOff>63501</xdr:rowOff>
    </xdr:from>
    <xdr:to>
      <xdr:col>5</xdr:col>
      <xdr:colOff>19792</xdr:colOff>
      <xdr:row>68</xdr:row>
      <xdr:rowOff>80433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DC842D4A-5324-622B-55AB-817FCD27669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5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934" y="11713634"/>
          <a:ext cx="4782291" cy="2929466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1333500</xdr:colOff>
      <xdr:row>73</xdr:row>
      <xdr:rowOff>80433</xdr:rowOff>
    </xdr:from>
    <xdr:to>
      <xdr:col>3</xdr:col>
      <xdr:colOff>250092</xdr:colOff>
      <xdr:row>85</xdr:row>
      <xdr:rowOff>131233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01B2CA6-4E69-5A02-7887-794B4705E91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7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3500" y="15553266"/>
          <a:ext cx="3281159" cy="2235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253999</xdr:colOff>
      <xdr:row>97</xdr:row>
      <xdr:rowOff>156367</xdr:rowOff>
    </xdr:from>
    <xdr:to>
      <xdr:col>5</xdr:col>
      <xdr:colOff>191035</xdr:colOff>
      <xdr:row>116</xdr:row>
      <xdr:rowOff>16932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F00AE3F0-B208-CD9F-AAFA-61676838CEA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9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06499" y="17813600"/>
          <a:ext cx="4652969" cy="331919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0">
    <v t="s"/>
    <v t="s">mpg</v>
    <v t="s">cylinders</v>
    <v t="s">displacement</v>
    <v t="s">horsepower</v>
    <v t="s">weight</v>
    <v t="s">acceleration</v>
    <v t="s">model_year</v>
    <v t="s">origin</v>
    <v t="s">name</v>
    <v>0</v>
    <v>18</v>
    <v>8</v>
    <v>307</v>
    <v>130</v>
    <v>3504</v>
    <v>12</v>
    <v>70</v>
    <v t="s">usa</v>
    <v t="s">chevrolet chevelle malibu</v>
    <v>1</v>
    <v>15</v>
    <v>8</v>
    <v>350</v>
    <v>165</v>
    <v>3693</v>
    <v>11.5</v>
    <v>70</v>
    <v t="s">usa</v>
    <v t="s">buick skylark 320</v>
    <v>2</v>
    <v>18</v>
    <v>8</v>
    <v>318</v>
    <v>150</v>
    <v>3436</v>
    <v>11</v>
    <v>70</v>
    <v t="s">usa</v>
    <v t="s">plymouth satellite</v>
    <v>3</v>
    <v>16</v>
    <v>8</v>
    <v>304</v>
    <v>150</v>
    <v>3433</v>
    <v>12</v>
    <v>70</v>
    <v t="s">usa</v>
    <v t="s">amc rebel sst</v>
    <v>4</v>
    <v>17</v>
    <v>8</v>
    <v>302</v>
    <v>140</v>
    <v>3449</v>
    <v>10.5</v>
    <v>70</v>
    <v t="s">usa</v>
    <v t="s">ford torino</v>
    <v t="s">...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 t="s">ford mustang gl</v>
    <v>394</v>
    <v>44</v>
    <v>4</v>
    <v>97</v>
    <v>52</v>
    <v>2130</v>
    <v>24.6</v>
    <v>82</v>
    <v t="s">europe</v>
    <v t="s">vw pickup</v>
    <v>395</v>
    <v>32</v>
    <v>4</v>
    <v>135</v>
    <v>84</v>
    <v>2295</v>
    <v>11.6</v>
    <v>82</v>
    <v t="s">usa</v>
    <v t="s">dodge rampage</v>
    <v>396</v>
    <v>28</v>
    <v>4</v>
    <v>120</v>
    <v>79</v>
    <v>2625</v>
    <v>18.600000000000001</v>
    <v>82</v>
    <v t="s">usa</v>
    <v t="s">ford ranger</v>
    <v>397</v>
    <v>31</v>
    <v>4</v>
    <v>119</v>
    <v>82</v>
    <v>2720</v>
    <v>19.399999999999999</v>
    <v>82</v>
    <v t="s">usa</v>
    <v t="s">chevy s-10</v>
  </a>
</arrayData>
</file>

<file path=xl/richData/rdrichvalue.xml><?xml version="1.0" encoding="utf-8"?>
<rvData xmlns="http://schemas.microsoft.com/office/spreadsheetml/2017/richdata" count="6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398</v>
      <v>9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B221C-12BE-4D23-AC9E-208FA4ADA42B}" name="mpg" displayName="mpg" ref="A1:I399" totalsRowShown="0">
  <autoFilter ref="A1:I399" xr:uid="{E2AB221C-12BE-4D23-AC9E-208FA4ADA42B}"/>
  <tableColumns count="9">
    <tableColumn id="1" xr3:uid="{2E4BC49D-253E-4A0A-87DE-1A3A4390848B}" name="mpg"/>
    <tableColumn id="2" xr3:uid="{02237DE5-77CC-446A-AF3E-CE9F7096492B}" name="cylinders"/>
    <tableColumn id="3" xr3:uid="{8F4F5EF2-2C64-452A-B40C-978993531A07}" name="displacement"/>
    <tableColumn id="4" xr3:uid="{99E94549-9142-407C-BE90-216961DFC65A}" name="horsepower"/>
    <tableColumn id="5" xr3:uid="{9038FFAE-621C-45AB-8132-7E3DDB6B9899}" name="weight"/>
    <tableColumn id="6" xr3:uid="{3556DB2F-6A92-4097-8F8B-9964BC2C8C7D}" name="acceleration"/>
    <tableColumn id="7" xr3:uid="{D74FF5C9-1907-48EB-82BF-6F0846BD73B2}" name="model_year"/>
    <tableColumn id="8" xr3:uid="{71AA6141-9B7B-443D-AA39-B08369B04C07}" name="origin"/>
    <tableColumn id="9" xr3:uid="{E47611D1-9D41-48C1-B7B3-7CF07F7A38EA}" name="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"/>
  <sheetViews>
    <sheetView workbookViewId="0">
      <selection activeCell="C1" sqref="C1"/>
    </sheetView>
  </sheetViews>
  <sheetFormatPr defaultRowHeight="14.35" x14ac:dyDescent="0.5"/>
  <cols>
    <col min="1" max="1" width="6.1171875" customWidth="1"/>
    <col min="2" max="2" width="11" customWidth="1"/>
    <col min="3" max="3" width="14" customWidth="1"/>
    <col min="4" max="4" width="12.41015625" customWidth="1"/>
    <col min="5" max="5" width="8.1171875" customWidth="1"/>
    <col min="6" max="6" width="14" customWidth="1"/>
    <col min="7" max="7" width="12.234375" customWidth="1"/>
    <col min="8" max="8" width="8" customWidth="1"/>
  </cols>
  <sheetData>
    <row r="1" spans="1:1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e" cm="1" vm="1">
        <f t="array" ref="K1">_xlfn._xlws.PY(0,1,mpg[#All])</f>
        <v>#VALUE!</v>
      </c>
    </row>
    <row r="2" spans="1:11" x14ac:dyDescent="0.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11" x14ac:dyDescent="0.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11" x14ac:dyDescent="0.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11" x14ac:dyDescent="0.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11" x14ac:dyDescent="0.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11" x14ac:dyDescent="0.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11" x14ac:dyDescent="0.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11" x14ac:dyDescent="0.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11" x14ac:dyDescent="0.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11" x14ac:dyDescent="0.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11" x14ac:dyDescent="0.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11" x14ac:dyDescent="0.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11" x14ac:dyDescent="0.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11" x14ac:dyDescent="0.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11" x14ac:dyDescent="0.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BD565-4521-4E30-A67D-FF1FDA2E9337}">
  <dimension ref="A1:I95"/>
  <sheetViews>
    <sheetView tabSelected="1" topLeftCell="A103" workbookViewId="0">
      <selection activeCell="A95" sqref="A95"/>
    </sheetView>
  </sheetViews>
  <sheetFormatPr defaultRowHeight="14.35" x14ac:dyDescent="0.5"/>
  <cols>
    <col min="1" max="1" width="13.234375" customWidth="1"/>
    <col min="2" max="2" width="30.3515625" customWidth="1"/>
    <col min="3" max="3" width="11.76171875" bestFit="1" customWidth="1"/>
    <col min="4" max="4" width="10.234375" bestFit="1" customWidth="1"/>
    <col min="5" max="5" width="13.17578125" customWidth="1"/>
    <col min="6" max="6" width="10.46875" bestFit="1" customWidth="1"/>
    <col min="7" max="7" width="12.1171875" bestFit="1" customWidth="1"/>
    <col min="9" max="9" width="21.05859375" bestFit="1" customWidth="1"/>
  </cols>
  <sheetData>
    <row r="1" spans="1:9" x14ac:dyDescent="0.5">
      <c r="A1" t="str" cm="1">
        <f t="array" ref="A1:F10">_xlfn._xlws.PY(1,0)</f>
        <v/>
      </c>
      <c r="B1" t="str">
        <v>dtype</v>
      </c>
      <c r="C1" t="str">
        <v>non_null</v>
      </c>
      <c r="D1" t="str">
        <v>null_count</v>
      </c>
      <c r="E1" t="str">
        <v>null_pct</v>
      </c>
      <c r="F1" t="str">
        <v>unique</v>
      </c>
    </row>
    <row r="2" spans="1:9" x14ac:dyDescent="0.5">
      <c r="A2" t="str">
        <v>mpg</v>
      </c>
      <c r="B2" t="str">
        <v>float64</v>
      </c>
      <c r="C2">
        <v>398</v>
      </c>
      <c r="D2">
        <v>0</v>
      </c>
      <c r="E2">
        <v>0</v>
      </c>
      <c r="F2">
        <v>129</v>
      </c>
    </row>
    <row r="3" spans="1:9" x14ac:dyDescent="0.5">
      <c r="A3" t="str">
        <v>cylinders</v>
      </c>
      <c r="B3" t="str">
        <v>int64</v>
      </c>
      <c r="C3">
        <v>398</v>
      </c>
      <c r="D3">
        <v>0</v>
      </c>
      <c r="E3">
        <v>0</v>
      </c>
      <c r="F3">
        <v>5</v>
      </c>
    </row>
    <row r="4" spans="1:9" x14ac:dyDescent="0.5">
      <c r="A4" t="str">
        <v>displacement</v>
      </c>
      <c r="B4" t="str">
        <v>float64</v>
      </c>
      <c r="C4">
        <v>398</v>
      </c>
      <c r="D4">
        <v>0</v>
      </c>
      <c r="E4">
        <v>0</v>
      </c>
      <c r="F4">
        <v>82</v>
      </c>
    </row>
    <row r="5" spans="1:9" x14ac:dyDescent="0.5">
      <c r="A5" t="str">
        <v>horsepower</v>
      </c>
      <c r="B5" t="str">
        <v>float64</v>
      </c>
      <c r="C5">
        <v>392</v>
      </c>
      <c r="D5">
        <v>6</v>
      </c>
      <c r="E5">
        <v>1.5</v>
      </c>
      <c r="F5">
        <v>93</v>
      </c>
    </row>
    <row r="6" spans="1:9" x14ac:dyDescent="0.5">
      <c r="A6" t="str">
        <v>weight</v>
      </c>
      <c r="B6" t="str">
        <v>int64</v>
      </c>
      <c r="C6">
        <v>398</v>
      </c>
      <c r="D6">
        <v>0</v>
      </c>
      <c r="E6">
        <v>0</v>
      </c>
      <c r="F6">
        <v>351</v>
      </c>
    </row>
    <row r="7" spans="1:9" x14ac:dyDescent="0.5">
      <c r="A7" t="str">
        <v>acceleration</v>
      </c>
      <c r="B7" t="str">
        <v>float64</v>
      </c>
      <c r="C7">
        <v>398</v>
      </c>
      <c r="D7">
        <v>0</v>
      </c>
      <c r="E7">
        <v>0</v>
      </c>
      <c r="F7">
        <v>95</v>
      </c>
    </row>
    <row r="8" spans="1:9" x14ac:dyDescent="0.5">
      <c r="A8" t="str">
        <v>model_year</v>
      </c>
      <c r="B8" t="str">
        <v>int64</v>
      </c>
      <c r="C8">
        <v>398</v>
      </c>
      <c r="D8">
        <v>0</v>
      </c>
      <c r="E8">
        <v>0</v>
      </c>
      <c r="F8">
        <v>13</v>
      </c>
    </row>
    <row r="9" spans="1:9" x14ac:dyDescent="0.5">
      <c r="A9" t="str">
        <v>origin</v>
      </c>
      <c r="B9" t="str">
        <v>object</v>
      </c>
      <c r="C9">
        <v>398</v>
      </c>
      <c r="D9">
        <v>0</v>
      </c>
      <c r="E9">
        <v>0</v>
      </c>
      <c r="F9">
        <v>3</v>
      </c>
    </row>
    <row r="10" spans="1:9" x14ac:dyDescent="0.5">
      <c r="A10" t="str">
        <v>name</v>
      </c>
      <c r="B10" t="str">
        <v>object</v>
      </c>
      <c r="C10">
        <v>398</v>
      </c>
      <c r="D10">
        <v>0</v>
      </c>
      <c r="E10">
        <v>0</v>
      </c>
      <c r="F10">
        <v>305</v>
      </c>
    </row>
    <row r="14" spans="1:9" x14ac:dyDescent="0.5">
      <c r="A14" s="1" t="str" cm="1">
        <f t="array" ref="A14:I19">_xlfn._xlws.PY(2,0)</f>
        <v>mpg</v>
      </c>
      <c r="B14" t="str">
        <v>cylinders</v>
      </c>
      <c r="C14" t="str">
        <v>displacement</v>
      </c>
      <c r="D14" t="str">
        <v>horsepower</v>
      </c>
      <c r="E14" t="str">
        <v>weight</v>
      </c>
      <c r="F14" t="str">
        <v>acceleration</v>
      </c>
      <c r="G14" t="str">
        <v>model_year</v>
      </c>
      <c r="H14" t="str">
        <v>origin</v>
      </c>
      <c r="I14" t="str">
        <v>name</v>
      </c>
    </row>
    <row r="15" spans="1:9" x14ac:dyDescent="0.5">
      <c r="A15" s="1">
        <v>18</v>
      </c>
      <c r="B15">
        <v>8</v>
      </c>
      <c r="C15">
        <v>307</v>
      </c>
      <c r="D15">
        <v>130</v>
      </c>
      <c r="E15">
        <v>3504</v>
      </c>
      <c r="F15">
        <v>12</v>
      </c>
      <c r="G15">
        <v>70</v>
      </c>
      <c r="H15" t="str">
        <v>usa</v>
      </c>
      <c r="I15" t="str">
        <v>chevrolet chevelle malibu</v>
      </c>
    </row>
    <row r="16" spans="1:9" x14ac:dyDescent="0.5">
      <c r="A16" s="1">
        <v>15</v>
      </c>
      <c r="B16">
        <v>8</v>
      </c>
      <c r="C16">
        <v>350</v>
      </c>
      <c r="D16">
        <v>165</v>
      </c>
      <c r="E16">
        <v>3693</v>
      </c>
      <c r="F16">
        <v>11.5</v>
      </c>
      <c r="G16">
        <v>70</v>
      </c>
      <c r="H16" t="str">
        <v>usa</v>
      </c>
      <c r="I16" t="str">
        <v>buick skylark 320</v>
      </c>
    </row>
    <row r="17" spans="1:9" x14ac:dyDescent="0.5">
      <c r="A17" s="1">
        <v>18</v>
      </c>
      <c r="B17">
        <v>8</v>
      </c>
      <c r="C17">
        <v>318</v>
      </c>
      <c r="D17">
        <v>150</v>
      </c>
      <c r="E17">
        <v>3436</v>
      </c>
      <c r="F17">
        <v>11</v>
      </c>
      <c r="G17">
        <v>70</v>
      </c>
      <c r="H17" t="str">
        <v>usa</v>
      </c>
      <c r="I17" t="str">
        <v>plymouth satellite</v>
      </c>
    </row>
    <row r="18" spans="1:9" x14ac:dyDescent="0.5">
      <c r="A18" s="1">
        <v>16</v>
      </c>
      <c r="B18">
        <v>8</v>
      </c>
      <c r="C18">
        <v>304</v>
      </c>
      <c r="D18">
        <v>150</v>
      </c>
      <c r="E18">
        <v>3433</v>
      </c>
      <c r="F18">
        <v>12</v>
      </c>
      <c r="G18">
        <v>70</v>
      </c>
      <c r="H18" t="str">
        <v>usa</v>
      </c>
      <c r="I18" t="str">
        <v>amc rebel sst</v>
      </c>
    </row>
    <row r="19" spans="1:9" x14ac:dyDescent="0.5">
      <c r="A19" s="1">
        <v>17</v>
      </c>
      <c r="B19">
        <v>8</v>
      </c>
      <c r="C19">
        <v>302</v>
      </c>
      <c r="D19">
        <v>140</v>
      </c>
      <c r="E19">
        <v>3449</v>
      </c>
      <c r="F19">
        <v>10.5</v>
      </c>
      <c r="G19">
        <v>70</v>
      </c>
      <c r="H19" t="str">
        <v>usa</v>
      </c>
      <c r="I19" t="str">
        <v>ford torino</v>
      </c>
    </row>
    <row r="21" spans="1:9" x14ac:dyDescent="0.5">
      <c r="A21" t="str" cm="1">
        <f t="array" ref="A21">_xlfn._xlws.PY(3,0)</f>
        <v>Before: 398 rows, After: 392 rows, Removed: 6</v>
      </c>
    </row>
    <row r="23" spans="1:9" x14ac:dyDescent="0.5">
      <c r="A23" t="str" cm="1">
        <f t="array" ref="A23">_xlfn._xlws.PY(4,0)</f>
        <v>Median horsepower: 93.5, Missing after fill: 0</v>
      </c>
    </row>
    <row r="25" spans="1:9" x14ac:dyDescent="0.5">
      <c r="A25" t="str" cm="1">
        <f t="array" ref="A25:C30">_xlfn._xlws.PY(5,0)</f>
        <v>name</v>
      </c>
      <c r="B25" t="str">
        <v>model_year</v>
      </c>
      <c r="C25" t="str">
        <v>era</v>
      </c>
    </row>
    <row r="26" spans="1:9" x14ac:dyDescent="0.5">
      <c r="A26" t="str">
        <v>chevrolet chevelle malibu</v>
      </c>
      <c r="B26">
        <v>70</v>
      </c>
      <c r="C26" t="str">
        <v>Early 1970s</v>
      </c>
    </row>
    <row r="27" spans="1:9" x14ac:dyDescent="0.5">
      <c r="A27" t="str">
        <v>buick skylark 320</v>
      </c>
      <c r="B27">
        <v>70</v>
      </c>
      <c r="C27" t="str">
        <v>Early 1970s</v>
      </c>
    </row>
    <row r="28" spans="1:9" x14ac:dyDescent="0.5">
      <c r="A28" t="str">
        <v>plymouth satellite</v>
      </c>
      <c r="B28">
        <v>70</v>
      </c>
      <c r="C28" t="str">
        <v>Early 1970s</v>
      </c>
    </row>
    <row r="29" spans="1:9" x14ac:dyDescent="0.5">
      <c r="A29" t="str">
        <v>amc rebel sst</v>
      </c>
      <c r="B29">
        <v>70</v>
      </c>
      <c r="C29" t="str">
        <v>Early 1970s</v>
      </c>
    </row>
    <row r="30" spans="1:9" x14ac:dyDescent="0.5">
      <c r="A30" t="str">
        <v>ford torino</v>
      </c>
      <c r="B30">
        <v>70</v>
      </c>
      <c r="C30" t="str">
        <v>Early 1970s</v>
      </c>
    </row>
    <row r="33" spans="1:6" x14ac:dyDescent="0.5">
      <c r="A33" t="str" cm="1">
        <f t="array" ref="A33:B36">_xlfn._xlws.PY(6,0)</f>
        <v>origin</v>
      </c>
      <c r="B33" t="str">
        <v>power_to_weight</v>
      </c>
    </row>
    <row r="34" spans="1:6" x14ac:dyDescent="0.5">
      <c r="A34" t="str">
        <v>europe</v>
      </c>
      <c r="B34">
        <v>33.69</v>
      </c>
    </row>
    <row r="35" spans="1:6" x14ac:dyDescent="0.5">
      <c r="A35" t="str">
        <v>japan</v>
      </c>
      <c r="B35">
        <v>35.700000000000003</v>
      </c>
    </row>
    <row r="36" spans="1:6" x14ac:dyDescent="0.5">
      <c r="A36" t="str">
        <v>usa</v>
      </c>
      <c r="B36">
        <v>34.97</v>
      </c>
    </row>
    <row r="39" spans="1:6" x14ac:dyDescent="0.5">
      <c r="A39" t="str" cm="1">
        <f t="array" ref="A39:F43">_xlfn._xlws.PY(7,0)</f>
        <v>cylinders</v>
      </c>
      <c r="B39">
        <v>3</v>
      </c>
      <c r="C39">
        <v>4</v>
      </c>
      <c r="D39">
        <v>5</v>
      </c>
      <c r="E39">
        <v>6</v>
      </c>
      <c r="F39">
        <v>8</v>
      </c>
    </row>
    <row r="40" spans="1:6" x14ac:dyDescent="0.5">
      <c r="A40" t="str">
        <v>origin</v>
      </c>
      <c r="B40" t="str">
        <v/>
      </c>
      <c r="C40" t="str">
        <v/>
      </c>
      <c r="D40" t="str">
        <v/>
      </c>
      <c r="E40" t="str">
        <v/>
      </c>
      <c r="F40" t="str">
        <v/>
      </c>
    </row>
    <row r="41" spans="1:6" x14ac:dyDescent="0.5">
      <c r="A41" t="str">
        <v>europe</v>
      </c>
      <c r="B41">
        <v>0</v>
      </c>
      <c r="C41">
        <v>63</v>
      </c>
      <c r="D41">
        <v>3</v>
      </c>
      <c r="E41">
        <v>4</v>
      </c>
      <c r="F41">
        <v>0</v>
      </c>
    </row>
    <row r="42" spans="1:6" x14ac:dyDescent="0.5">
      <c r="A42" t="str">
        <v>japan</v>
      </c>
      <c r="B42">
        <v>4</v>
      </c>
      <c r="C42">
        <v>69</v>
      </c>
      <c r="D42">
        <v>0</v>
      </c>
      <c r="E42">
        <v>6</v>
      </c>
      <c r="F42">
        <v>0</v>
      </c>
    </row>
    <row r="43" spans="1:6" x14ac:dyDescent="0.5">
      <c r="A43" t="str">
        <v>usa</v>
      </c>
      <c r="B43">
        <v>0</v>
      </c>
      <c r="C43">
        <v>72</v>
      </c>
      <c r="D43">
        <v>0</v>
      </c>
      <c r="E43">
        <v>74</v>
      </c>
      <c r="F43">
        <v>103</v>
      </c>
    </row>
    <row r="46" spans="1:6" x14ac:dyDescent="0.5">
      <c r="A46" t="str" cm="1">
        <f t="array" ref="A46:F50">_xlfn._xlws.PY(8,0)</f>
        <v>cylinders</v>
      </c>
      <c r="B46">
        <v>3</v>
      </c>
      <c r="C46">
        <v>4</v>
      </c>
      <c r="D46">
        <v>5</v>
      </c>
      <c r="E46">
        <v>6</v>
      </c>
      <c r="F46">
        <v>8</v>
      </c>
    </row>
    <row r="47" spans="1:6" x14ac:dyDescent="0.5">
      <c r="A47" t="str">
        <v>origin</v>
      </c>
      <c r="B47" t="str">
        <v/>
      </c>
      <c r="C47" t="str">
        <v/>
      </c>
      <c r="D47" t="str">
        <v/>
      </c>
      <c r="E47" t="str">
        <v/>
      </c>
      <c r="F47" t="str">
        <v/>
      </c>
    </row>
    <row r="48" spans="1:6" x14ac:dyDescent="0.5">
      <c r="A48" t="str">
        <v>europe</v>
      </c>
      <c r="B48" s="2">
        <v>0</v>
      </c>
      <c r="C48" s="2">
        <v>0.9</v>
      </c>
      <c r="D48" s="2">
        <v>4.2999999999999997E-2</v>
      </c>
      <c r="E48" s="2">
        <v>5.7000000000000002E-2</v>
      </c>
      <c r="F48" s="2">
        <v>0</v>
      </c>
    </row>
    <row r="49" spans="1:6" x14ac:dyDescent="0.5">
      <c r="A49" t="str">
        <v>japan</v>
      </c>
      <c r="B49" s="2">
        <v>5.0999999999999997E-2</v>
      </c>
      <c r="C49" s="2">
        <v>0.873</v>
      </c>
      <c r="D49" s="2">
        <v>0</v>
      </c>
      <c r="E49" s="2">
        <v>7.5999999999999998E-2</v>
      </c>
      <c r="F49" s="2">
        <v>0</v>
      </c>
    </row>
    <row r="50" spans="1:6" x14ac:dyDescent="0.5">
      <c r="A50" t="str">
        <v>usa</v>
      </c>
      <c r="B50" s="2">
        <v>0</v>
      </c>
      <c r="C50" s="2">
        <v>0.28899999999999998</v>
      </c>
      <c r="D50" s="2">
        <v>0</v>
      </c>
      <c r="E50" s="2">
        <v>0.29699999999999999</v>
      </c>
      <c r="F50" s="2">
        <v>0.41399999999999998</v>
      </c>
    </row>
    <row r="54" spans="1:6" x14ac:dyDescent="0.5">
      <c r="A54" t="e" cm="1" vm="2">
        <f t="array" ref="A54">_xlfn._xlws.PY(9,0)</f>
        <v>#VALUE!</v>
      </c>
    </row>
    <row r="74" spans="1:1" x14ac:dyDescent="0.5">
      <c r="A74" t="e" cm="1" vm="3">
        <f t="array" ref="A74">_xlfn._xlws.PY(10,0)</f>
        <v>#VALUE!</v>
      </c>
    </row>
    <row r="89" spans="1:7" x14ac:dyDescent="0.5">
      <c r="A89" t="str" cm="1">
        <f t="array" ref="A89:G92">_xlfn._xlws.PY(11,0)</f>
        <v/>
      </c>
      <c r="B89" t="str">
        <v>name</v>
      </c>
      <c r="C89" t="str">
        <v>mpg</v>
      </c>
      <c r="D89" t="str">
        <v>cylinders</v>
      </c>
      <c r="E89" t="str">
        <v>horsepower</v>
      </c>
      <c r="F89" t="str">
        <v>weight</v>
      </c>
      <c r="G89" t="str">
        <v>model_year</v>
      </c>
    </row>
    <row r="90" spans="1:7" x14ac:dyDescent="0.5">
      <c r="A90">
        <v>344</v>
      </c>
      <c r="B90" t="str">
        <v>plymouth champ</v>
      </c>
      <c r="C90">
        <v>39</v>
      </c>
      <c r="D90">
        <v>4</v>
      </c>
      <c r="E90">
        <v>64</v>
      </c>
      <c r="F90">
        <v>1875</v>
      </c>
      <c r="G90">
        <v>81</v>
      </c>
    </row>
    <row r="91" spans="1:7" x14ac:dyDescent="0.5">
      <c r="A91">
        <v>378</v>
      </c>
      <c r="B91" t="str">
        <v>plymouth horizon miser</v>
      </c>
      <c r="C91">
        <v>38</v>
      </c>
      <c r="D91">
        <v>4</v>
      </c>
      <c r="E91">
        <v>63</v>
      </c>
      <c r="F91">
        <v>2125</v>
      </c>
      <c r="G91">
        <v>82</v>
      </c>
    </row>
    <row r="92" spans="1:7" x14ac:dyDescent="0.5">
      <c r="A92">
        <v>387</v>
      </c>
      <c r="B92" t="str">
        <v>oldsmobile cutlass ciera (diesel)</v>
      </c>
      <c r="C92">
        <v>38</v>
      </c>
      <c r="D92">
        <v>6</v>
      </c>
      <c r="E92">
        <v>85</v>
      </c>
      <c r="F92">
        <v>3015</v>
      </c>
      <c r="G92">
        <v>82</v>
      </c>
    </row>
    <row r="95" spans="1:7" x14ac:dyDescent="0.5">
      <c r="A95" t="e" cm="1" vm="4">
        <f t="array" ref="A95">_xlfn._xlws.PY(12,0)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2026-04-03T20:12:39Z</dcterms:created>
  <dcterms:modified xsi:type="dcterms:W3CDTF">2026-04-10T14:58:53Z</dcterms:modified>
</cp:coreProperties>
</file>