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11\"/>
    </mc:Choice>
  </mc:AlternateContent>
  <xr:revisionPtr revIDLastSave="0" documentId="13_ncr:1_{45614044-4574-4F08-BAAF-1856C3ECD594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 a="1"/>
  <c r="J2" i="1" a="1"/>
  <c r="J9" i="1" s="1" a="1"/>
  <c r="J12" i="1" s="1" a="1"/>
  <c r="J23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mpg_df = xl(%P2%, headers=True)
mpg_df.groupby('origin')['mpg'].agg( ['count', 'mean', 'std']).round(2) </code>
    </pythonScript>
    <pythonScript>
      <code>import statsmodels.api as sm 
df = mpg_df.copy() 
df['origin'] = df['origin'].map( 
    {'usa': 1, 'europe': 2, 'japan': 3}) 
X = df[['cylinders', 'displacement', 'horsepower', 
        'weight', 'acceleration', 'origin']] 
y = df['mpg'] 
X = sm.add_constant(X) 
model = sm.OLS(y, X, missing='drop').fit() 
model.summary() 
f"Rows in data: {len(mpg_df):,} / Rows used by model: {int(model.nobs):,}"</code>
    </pythonScript>
    <pythonScript>
      <code>import statsmodels.formula.api as smf
reg_df = mpg_df.dropna(subset=['horsepower']).copy()
model = smf.ols(
    'mpg ~ cylinders + displacement + horsepower'
    ' + weight + acceleration + C(origin, Treatment(reference="usa"))',
    data=reg_df
).fit()
model.summary2().tables[1]</code>
    </pythonScript>
    <pythonScript>
      <code>mpg_df['horsepower'].corr(mpg_df['mpg'])</code>
    </pythonScript>
    <pythonScript>
      <code>from scipy.stats import pearsonr, spearmanr
hp = mpg_df.dropna(subset=['horsepower'])
pearson = pearsonr(hp['horsepower'], hp['mpg'])[0]
spearman = spearmanr(hp['horsepower'], hp['mpg'])[0]
f"Pearson: {pearson:.2f}, Spearman: {spearman:.2f}"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<sst xmlns="http://schemas.openxmlformats.org/spreadsheetml/2006/main" count="406" uniqueCount="11">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</sst>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 t="s">Rows in data: 398 / Rows used by model: 392</fb>
    <v>&lt;class 'str'&gt;</v>
    <v>str</v>
    <v>Rows in data: 398 / Rows used by model: 392</v>
    <v>Rows in data: 398 / Rows used by model: 392</v>
    <v>0</v>
  </rv>
  <rv s="1">
    <fb>-0.77842678389777564</fb>
    <v>&lt;class 'numpy.float64'&gt;</v>
    <v>float64</v>
    <v>-0.7784267838977756</v>
    <v>-0.77842678389777564</v>
    <v>0</v>
  </rv>
  <rv s="0">
    <fb t="s">Pearson: -0.78, Spearman: -0.85</fb>
    <v>&lt;class 'str'&gt;</v>
    <v>str</v>
    <v>Pearson: -0.78, Spearman: -0.85</v>
    <v>Pearson: -0.78, Spearman: -0.85</v>
    <v>0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 t="s"/>
    <k n="_Provider" t="spb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H399" totalsRowShown="0">
  <autoFilter ref="A1:H399" xr:uid="{E7D35ED8-82FD-4F2C-AC14-355402958DA6}"/>
  <tableColumns count="8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9"/>
  <sheetViews>
    <sheetView tabSelected="1" workbookViewId="0">
      <selection activeCell="B2" sqref="B2"/>
    </sheetView>
  </sheetViews>
  <sheetFormatPr defaultRowHeight="14.25" x14ac:dyDescent="0.45"/>
  <cols>
    <col min="1" max="1" width="6.1328125" customWidth="1"/>
    <col min="2" max="2" width="11" customWidth="1"/>
    <col min="3" max="3" width="14" customWidth="1"/>
    <col min="4" max="4" width="12.3984375" customWidth="1"/>
    <col min="5" max="5" width="8.1328125" customWidth="1"/>
    <col min="6" max="6" width="14" customWidth="1"/>
    <col min="7" max="7" width="12.19921875" customWidth="1"/>
    <col min="8" max="8" width="8" customWidth="1"/>
    <col min="10" max="10" width="39.1328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  <c r="J2" s="1" t="str" cm="1">
        <f t="array" ref="J2:M6">_xlfn._xlws.PY(0,0,mpg[#All])</f>
        <v/>
      </c>
      <c r="K2" t="str">
        <v>count</v>
      </c>
      <c r="L2" t="str">
        <v>mean</v>
      </c>
      <c r="M2" t="str">
        <v>std</v>
      </c>
    </row>
    <row r="3" spans="1:16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  <c r="J3" t="str">
        <v>origin</v>
      </c>
      <c r="K3" t="str">
        <v/>
      </c>
      <c r="L3" t="str">
        <v/>
      </c>
      <c r="M3" t="str">
        <v/>
      </c>
    </row>
    <row r="4" spans="1:16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  <c r="J4" t="str">
        <v>europe</v>
      </c>
      <c r="K4">
        <v>70</v>
      </c>
      <c r="L4">
        <v>27.89</v>
      </c>
      <c r="M4">
        <v>6.72</v>
      </c>
    </row>
    <row r="5" spans="1:16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  <c r="J5" t="str">
        <v>japan</v>
      </c>
      <c r="K5">
        <v>79</v>
      </c>
      <c r="L5">
        <v>30.45</v>
      </c>
      <c r="M5">
        <v>6.09</v>
      </c>
    </row>
    <row r="6" spans="1:16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  <c r="J6" t="str">
        <v>usa</v>
      </c>
      <c r="K6">
        <v>249</v>
      </c>
      <c r="L6">
        <v>20.079999999999998</v>
      </c>
      <c r="M6">
        <v>6.4</v>
      </c>
    </row>
    <row r="7" spans="1:16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16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16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  <c r="J9" t="str" cm="1" vm="1">
        <f t="array" ref="J9">_xlfn._xlws.PY(1,1)</f>
        <v>Rows in data: 398 / Rows used by model: 392</v>
      </c>
    </row>
    <row r="10" spans="1:16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16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16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  <c r="J12" t="str" cm="1">
        <f t="array" ref="J12:P20">_xlfn._xlws.PY(2,0)</f>
        <v/>
      </c>
      <c r="K12" t="str">
        <v>Coef.</v>
      </c>
      <c r="L12" t="str">
        <v>Std.Err.</v>
      </c>
      <c r="M12" t="str">
        <v>t</v>
      </c>
      <c r="N12" t="str">
        <v>P&gt;|t|</v>
      </c>
      <c r="O12" t="str">
        <v>[0.025</v>
      </c>
      <c r="P12" t="str">
        <v>0.975]</v>
      </c>
    </row>
    <row r="13" spans="1:16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  <c r="J13" t="str">
        <v>Intercept</v>
      </c>
      <c r="K13">
        <v>44.768791093939278</v>
      </c>
      <c r="L13">
        <v>2.639845678008506</v>
      </c>
      <c r="M13">
        <v>16.958866750011222</v>
      </c>
      <c r="N13">
        <v>1.5069966434467596E-48</v>
      </c>
      <c r="O13">
        <v>39.578429579547574</v>
      </c>
      <c r="P13">
        <v>49.959152608330982</v>
      </c>
    </row>
    <row r="14" spans="1:16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  <c r="J14" t="str">
        <v>C(origin, Treatment(reference="usa"))[T.europe]</v>
      </c>
      <c r="K14">
        <v>1.1255450993376057</v>
      </c>
      <c r="L14">
        <v>0.70155663166100612</v>
      </c>
      <c r="M14">
        <v>1.6043538732899782</v>
      </c>
      <c r="N14">
        <v>0.10945817115951426</v>
      </c>
      <c r="O14">
        <v>-0.25382816155943866</v>
      </c>
      <c r="P14">
        <v>2.5049183602346501</v>
      </c>
    </row>
    <row r="15" spans="1:16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  <c r="J15" t="str">
        <v>C(origin, Treatment(reference="usa"))[T.japan]</v>
      </c>
      <c r="K15">
        <v>2.9325396705706366</v>
      </c>
      <c r="L15">
        <v>0.69556748674791657</v>
      </c>
      <c r="M15">
        <v>4.2160390277606954</v>
      </c>
      <c r="N15">
        <v>3.1035280798707416E-5</v>
      </c>
      <c r="O15">
        <v>1.5649420325897265</v>
      </c>
      <c r="P15">
        <v>4.3001373085515464</v>
      </c>
    </row>
    <row r="16" spans="1:16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  <c r="J16" t="str">
        <v>cylinders</v>
      </c>
      <c r="K16">
        <v>-0.56618762850693949</v>
      </c>
      <c r="L16">
        <v>0.4042069027992049</v>
      </c>
      <c r="M16">
        <v>-1.4007371585838568</v>
      </c>
      <c r="N16">
        <v>0.16210023902885551</v>
      </c>
      <c r="O16">
        <v>-1.3609234608390675</v>
      </c>
      <c r="P16">
        <v>0.22854820382518859</v>
      </c>
    </row>
    <row r="17" spans="1:16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  <c r="J17" t="str">
        <v>displacement</v>
      </c>
      <c r="K17">
        <v>1.1427022236515993E-2</v>
      </c>
      <c r="L17">
        <v>9.5736696280549916E-3</v>
      </c>
      <c r="M17">
        <v>1.1935885277500988</v>
      </c>
      <c r="N17">
        <v>0.2333758308072085</v>
      </c>
      <c r="O17">
        <v>-7.3963532368730399E-3</v>
      </c>
      <c r="P17">
        <v>3.0250397709905025E-2</v>
      </c>
    </row>
    <row r="18" spans="1:16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  <c r="J18" t="str">
        <v>horsepower</v>
      </c>
      <c r="K18">
        <v>-6.1333905587710721E-2</v>
      </c>
      <c r="L18">
        <v>1.6867936195711444E-2</v>
      </c>
      <c r="M18">
        <v>-3.6361238788242773</v>
      </c>
      <c r="N18">
        <v>3.1449780493801301E-4</v>
      </c>
      <c r="O18">
        <v>-9.4498983223416877E-2</v>
      </c>
      <c r="P18">
        <v>-2.8168827952004559E-2</v>
      </c>
    </row>
    <row r="19" spans="1:16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  <c r="J19" t="str">
        <v>weight</v>
      </c>
      <c r="K19">
        <v>-4.8119316563116805E-3</v>
      </c>
      <c r="L19">
        <v>8.0894151921187974E-4</v>
      </c>
      <c r="M19">
        <v>-5.9484295737468864</v>
      </c>
      <c r="N19">
        <v>6.0967007570731061E-9</v>
      </c>
      <c r="O19">
        <v>-6.4024408908811749E-3</v>
      </c>
      <c r="P19">
        <v>-3.2214224217421861E-3</v>
      </c>
    </row>
    <row r="20" spans="1:16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  <c r="J20" t="str">
        <v>acceleration</v>
      </c>
      <c r="K20">
        <v>-3.1984129141198303E-2</v>
      </c>
      <c r="L20">
        <v>0.12325291338425248</v>
      </c>
      <c r="M20">
        <v>-0.2594999847304606</v>
      </c>
      <c r="N20">
        <v>0.79538855858806079</v>
      </c>
      <c r="O20">
        <v>-0.27431919573072971</v>
      </c>
      <c r="P20">
        <v>0.21035093744833314</v>
      </c>
    </row>
    <row r="21" spans="1:16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16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16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  <c r="J23" cm="1" vm="2">
        <f t="array" ref="J23">_xlfn._xlws.PY(3,1)</f>
        <v>-0.77842678389777564</v>
      </c>
    </row>
    <row r="24" spans="1:16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16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  <c r="J25" t="str" cm="1" vm="3">
        <f t="array" ref="J25">_xlfn._xlws.PY(4,1)</f>
        <v>Pearson: -0.78, Spearman: -0.85</v>
      </c>
    </row>
    <row r="26" spans="1:16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16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16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16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16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16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16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2026-09-16T21:24:14Z</dcterms:modified>
</cp:coreProperties>
</file>