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4\"/>
    </mc:Choice>
  </mc:AlternateContent>
  <xr:revisionPtr revIDLastSave="0" documentId="13_ncr:1_{F8603F6F-2B34-4614-9750-0CD8BBE86C50}" xr6:coauthVersionLast="47" xr6:coauthVersionMax="47" xr10:uidLastSave="{00000000-0000-0000-0000-000000000000}"/>
  <bookViews>
    <workbookView xWindow="-98" yWindow="-98" windowWidth="18915" windowHeight="12676" activeTab="1" xr2:uid="{00000000-000D-0000-FFFF-FFFF00000000}"/>
  </bookViews>
  <sheets>
    <sheet name="data" sheetId="1" r:id="rId1"/>
    <sheet name="e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A1" i="2" a="1"/>
  <c r="A14" i="2" a="1"/>
  <c r="A21" i="2" a="1"/>
  <c r="A23" i="2" a="1"/>
  <c r="A25" i="2" a="1"/>
  <c r="A33" i="2" a="1"/>
  <c r="A39" i="2" a="1"/>
  <c r="A46" i="2" a="1"/>
  <c r="A54" i="2" a="1"/>
  <c r="A74" i="2" a="1"/>
  <c r="A89" i="2" a="1"/>
  <c r="A95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mpg_df = xl(%P2%, headers=True)</code>
    </pythonScript>
    <pythonScript>
      <code># Build a quality summary for each column
quality = pd.DataFrame({
    "dtype": mpg_df.dtypes,
    "non_null": mpg_df.count(),
    "null_count": mpg_df.isna().sum(),
    "null_pct": (mpg_df.isna().sum() / len(mpg_df) * 100).round(1),
    "unique": mpg_df.nunique()
})
quality</code>
    </pythonScript>
    <pythonScript>
      <code># Remove rows where horsepower is missing
mpg_clean = mpg_df.dropna(subset=["horsepower"])
mpg_clean.head()</code>
    </pythonScript>
    <pythonScript>
      <code xml:space="preserve"># Remove rows where horsepower is missing  
mpg_clean = mpg_df.dropna(subset=["horsepower"])  
before_count = len(mpg_df)  
after_count = len(mpg_clean)  
removed_count = before_count - after_count  
f"Before: {before_count} rows, After: {after_count} rows, Removed: {removed_count}" </code>
    </pythonScript>
    <pythonScript>
      <code>median_hp = mpg_df["horsepower"].median()
mpg_df["horsepower"] = mpg_df["horsepower"].fillna(median_hp)
# Verify the fill worked
"Median horsepower: " + str(median_hp) + ", Missing after fill: " + str(mpg_df["horsepower"].isna().sum())</code>
    </pythonScript>
    <pythonScript>
      <code># Create era categories using pd.cut()
mpg_df["era"] = pd.cut(
    mpg_df["model_year"],
    bins=[69, 73, 76, 82],
    labels=["Early 1970s", "Mid 1970s", "Late 70s/Early 80s"]
)
mpg_df[["name", "model_year", "era"]].head()</code>
    </pythonScript>
    <pythonScript>
      <code># Calculate power-to-weight ratio
mpg_df["power_to_weight"] = (mpg_df["horsepower"] / mpg_df["weight"] * 1000).round(2)
mpg_df[["name", "horsepower", "weight", "power_to_weight"]].head(10)
# Average power to weight ratio by origin
mpg_df.groupby("origin")["power_to_weight"].mean().round(2)</code>
    </pythonScript>
    <pythonScript>
      <code># Cross-tabulate origin and cylinders
ct = pd.crosstab(mpg_df["origin"], mpg_df["cylinders"])
ct</code>
    </pythonScript>
    <pythonScript>
      <code># Cross-tabulate with row percentages
ct_pct = pd.crosstab(
    mpg_df["origin"], mpg_df["cylinders"],
    normalize="index"
).round(3) 
ct_pct</code>
    </pythonScript>
    <pythonScript>
      <code># Calculate mean MPG by origin and era
grouped = mpg_df.groupby(["origin", "era"])["mpg"].mean().reset_index()
grouped
plt.figure(figsize=(9, 5))
sns.barplot(x="era", y="mpg", hue="origin", data=grouped)
plt.title("Average MPG by Era and Origin")
plt.xlabel("Era")
plt.ylabel("Average Miles per Gallon")</code>
    </pythonScript>
    <pythonScript>
      <code>plt.figure(figsize=(8, 5))
sns.boxplot(x="origin", y="mpg", data=mpg_df, color="lightblue")
sns.stripplot(x="origin", y="mpg", data=mpg_df,
              color="black", alpha=0.4, jitter=True, size=4)
plt.title("MPG by Origin with Individual Observations")
plt.xlabel("Origin")
plt.ylabel("Miles per Gallon")</code>
    </pythonScript>
    <pythonScript>
      <code xml:space="preserve"># Focus on American vehicles 
usa = mpg_df[mpg_df["origin"] == "usa"] 
# Calculate IQR for mpg 
q1 = usa["mpg"].quantile(0.25) 
q3 = usa["mpg"].quantile(0.75) 
iqr = q3 - q1 
# Define outlier boundaries 
lower_bound = q1 - 1.5 * iqr 
upper_bound = q3 + 1.5 * iqr 
# Find outliers 
outliers = usa[(usa["mpg"] &lt; lower_bound) | (usa["mpg"] &gt; upper_bound)] 
outliers[["name", "mpg", "cylinders", "horsepower", "weight", "model_year"]] </code>
    </pythonScript>
    <pythonScript>
      <code>usa = mpg_df.loc[mpg_df["origin"] == "usa"].copy()
usa["is_outlier"] = np.where(
    (usa["mpg"] &gt; upper_bound) | (usa["mpg"] &lt; lower_bound),
    "Yes", "No"
)
plt.figure(figsize=(9, 6))
sns.scatterplot(
    x="weight", y="mpg",
    hue="is_outlier", style="is_outlier",
    data=usa,
    hue_order=["No", "Yes"],
    style_order=["No", "Yes"],
    palette={"No": "steelblue", "Yes": "red"},
    markers={"No": "o", "Yes": "X"},
    alpha=0.6, s=60
)
plt.title("American Vehicles: Weight vs. MPG with Outliers Highlighted")
plt.xlabel("Vehicle Weight (lbs)")
plt.ylabel("Miles per Gallon")
plt.legend(title="MPG Outlier")</code>
    </pythonScript>
  </pythonScripts>
</python>
</file>

<file path=xl/sharedStrings.xml><?xml version="1.0" encoding="utf-8"?>
<sst xmlns="http://schemas.openxmlformats.org/spreadsheetml/2006/main" count="805" uniqueCount="317">
  <si>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</si>
  <si>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</si>
  <si>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</si>
  <si>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</si>
  <si>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</si>
  <si>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</si>
  <si>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</si>
  <si>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</si>
  <si>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name</t>
  </si>
  <si>
    <t>usa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</si>
  <si>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</si>
  <si>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</si>
  <si>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</si>
  <si>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</si>
  <si>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</si>
  <si>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</si>
  <si>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</si>
  <si>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</si>
  <si>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</si>
  <si>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</si>
  <si>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</si>
  <si>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</si>
  <si>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</si>
  <si>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</si>
  <si>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japan</t>
  </si>
  <si>
    <t>toyota corona mark ii</t>
  </si>
  <si>
    <t>plymouth duster</t>
  </si>
  <si>
    <t>amc hornet</t>
  </si>
  <si>
    <t>ford maverick</t>
  </si>
  <si>
    <t>datsun pl510</t>
  </si>
  <si>
    <t>europe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</si>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</sst>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905934</xdr:colOff>
      <xdr:row>52</xdr:row>
      <xdr:rowOff>63501</xdr:rowOff>
    </xdr:from>
    <xdr:to>
      <xdr:col>5</xdr:col>
      <xdr:colOff>19792</xdr:colOff>
      <xdr:row>68</xdr:row>
      <xdr:rowOff>80433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DC842D4A-5324-622B-55AB-817FCD27669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eda!A5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934" y="11713634"/>
          <a:ext cx="4782291" cy="2929466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1333500</xdr:colOff>
      <xdr:row>73</xdr:row>
      <xdr:rowOff>80433</xdr:rowOff>
    </xdr:from>
    <xdr:to>
      <xdr:col>3</xdr:col>
      <xdr:colOff>250092</xdr:colOff>
      <xdr:row>85</xdr:row>
      <xdr:rowOff>131233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E01B2CA6-4E69-5A02-7887-794B4705E91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eda!A74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" y="15553266"/>
          <a:ext cx="3281159" cy="2235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253999</xdr:colOff>
      <xdr:row>97</xdr:row>
      <xdr:rowOff>156367</xdr:rowOff>
    </xdr:from>
    <xdr:to>
      <xdr:col>5</xdr:col>
      <xdr:colOff>191035</xdr:colOff>
      <xdr:row>116</xdr:row>
      <xdr:rowOff>16932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F00AE3F0-B208-CD9F-AAFA-61676838CEA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eda!A95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6499" y="17813600"/>
          <a:ext cx="4652969" cy="331919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0">
    <v t="s"/>
    <v t="s">mpg</v>
    <v t="s">cylinders</v>
    <v t="s">displacement</v>
    <v t="s">horsepower</v>
    <v t="s">weight</v>
    <v t="s">acceleration</v>
    <v t="s">model_year</v>
    <v t="s">origin</v>
    <v t="s">name</v>
    <v>0</v>
    <v>18</v>
    <v>8</v>
    <v>307</v>
    <v>130</v>
    <v>3504</v>
    <v>12</v>
    <v>70</v>
    <v t="s">usa</v>
    <v t="s">chevrolet chevelle malibu</v>
    <v>1</v>
    <v>15</v>
    <v>8</v>
    <v>350</v>
    <v>165</v>
    <v>3693</v>
    <v>11.5</v>
    <v>70</v>
    <v t="s">usa</v>
    <v t="s">buick skylark 320</v>
    <v>2</v>
    <v>18</v>
    <v>8</v>
    <v>318</v>
    <v>150</v>
    <v>3436</v>
    <v>11</v>
    <v>70</v>
    <v t="s">usa</v>
    <v t="s">plymouth satellite</v>
    <v>3</v>
    <v>16</v>
    <v>8</v>
    <v>304</v>
    <v>150</v>
    <v>3433</v>
    <v>12</v>
    <v>70</v>
    <v t="s">usa</v>
    <v t="s">amc rebel sst</v>
    <v>4</v>
    <v>17</v>
    <v>8</v>
    <v>302</v>
    <v>140</v>
    <v>3449</v>
    <v>10.5</v>
    <v>70</v>
    <v t="s">usa</v>
    <v t="s">ford torino</v>
    <v t="s">...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 t="s">ford mustang gl</v>
    <v>394</v>
    <v>44</v>
    <v>4</v>
    <v>97</v>
    <v>52</v>
    <v>2130</v>
    <v>24.6</v>
    <v>82</v>
    <v t="s">europe</v>
    <v t="s">vw pickup</v>
    <v>395</v>
    <v>32</v>
    <v>4</v>
    <v>135</v>
    <v>84</v>
    <v>2295</v>
    <v>11.6</v>
    <v>82</v>
    <v t="s">usa</v>
    <v t="s">dodge rampage</v>
    <v>396</v>
    <v>28</v>
    <v>4</v>
    <v>120</v>
    <v>79</v>
    <v>2625</v>
    <v>18.600000000000001</v>
    <v>82</v>
    <v t="s">usa</v>
    <v t="s">ford ranger</v>
    <v>397</v>
    <v>31</v>
    <v>4</v>
    <v>119</v>
    <v>82</v>
    <v>2720</v>
    <v>19.399999999999999</v>
    <v>82</v>
    <v t="s">usa</v>
    <v t="s">chevy s-10</v>
  </a>
</arrayData>
</file>

<file path=xl/richData/rdrichvalue.xml><?xml version="1.0" encoding="utf-8"?>
<rvData xmlns="http://schemas.microsoft.com/office/spreadsheetml/2017/richdata" count="6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  <rv s="3">
    <v>0</v>
    <v>9</v>
    <v>Image generated by Python</v>
  </rv>
  <rv s="3">
    <v>1</v>
    <v>9</v>
    <v>Image generated by Python</v>
  </rv>
  <rv s="3">
    <v>2</v>
    <v>9</v>
    <v>Image generated by Python</v>
  </rv>
</rvData>
</file>

<file path=xl/richData/rdrichvaluestructure.xml><?xml version="1.0" encoding="utf-8"?>
<rvStructures xmlns="http://schemas.microsoft.com/office/spreadsheetml/2017/richdata" count="4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9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AB221C-12BE-4D23-AC9E-208FA4ADA42B}" name="mpg" displayName="mpg" ref="A1:I399" totalsRowShown="0">
  <autoFilter ref="A1:I399" xr:uid="{E2AB221C-12BE-4D23-AC9E-208FA4ADA42B}"/>
  <tableColumns count="9">
    <tableColumn id="1" xr3:uid="{2E4BC49D-253E-4A0A-87DE-1A3A4390848B}" name="mpg"/>
    <tableColumn id="2" xr3:uid="{02237DE5-77CC-446A-AF3E-CE9F7096492B}" name="cylinders"/>
    <tableColumn id="3" xr3:uid="{8F4F5EF2-2C64-452A-B40C-978993531A07}" name="displacement"/>
    <tableColumn id="4" xr3:uid="{99E94549-9142-407C-BE90-216961DFC65A}" name="horsepower"/>
    <tableColumn id="5" xr3:uid="{9038FFAE-621C-45AB-8132-7E3DDB6B9899}" name="weight"/>
    <tableColumn id="6" xr3:uid="{3556DB2F-6A92-4097-8F8B-9964BC2C8C7D}" name="acceleration"/>
    <tableColumn id="7" xr3:uid="{D74FF5C9-1907-48EB-82BF-6F0846BD73B2}" name="model_year"/>
    <tableColumn id="8" xr3:uid="{71AA6141-9B7B-443D-AA39-B08369B04C07}" name="origin"/>
    <tableColumn id="9" xr3:uid="{E47611D1-9D41-48C1-B7B3-7CF07F7A38EA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9"/>
  <sheetViews>
    <sheetView workbookViewId="0">
      <selection activeCell="F9" sqref="A2:I399"/>
    </sheetView>
  </sheetViews>
  <sheetFormatPr defaultRowHeight="14.25" x14ac:dyDescent="0.45"/>
  <cols>
    <col min="1" max="1" width="6.1328125" customWidth="1"/>
    <col min="2" max="2" width="11" customWidth="1"/>
    <col min="3" max="3" width="14" customWidth="1"/>
    <col min="4" max="4" width="12.3984375" customWidth="1"/>
    <col min="5" max="5" width="8.1328125" customWidth="1"/>
    <col min="6" max="6" width="14" customWidth="1"/>
    <col min="7" max="7" width="12.19921875" customWidth="1"/>
    <col min="8" max="8" width="8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e" cm="1" vm="1">
        <f t="array" ref="K1">_xlfn._xlws.PY(0,1,mpg[#All])</f>
        <v>#VALUE!</v>
      </c>
    </row>
    <row r="2" spans="1:11" x14ac:dyDescent="0.4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9</v>
      </c>
      <c r="I2" t="s">
        <v>10</v>
      </c>
    </row>
    <row r="3" spans="1:11" x14ac:dyDescent="0.4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9</v>
      </c>
      <c r="I3" t="s">
        <v>11</v>
      </c>
    </row>
    <row r="4" spans="1:11" x14ac:dyDescent="0.4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9</v>
      </c>
      <c r="I4" t="s">
        <v>12</v>
      </c>
    </row>
    <row r="5" spans="1:11" x14ac:dyDescent="0.4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9</v>
      </c>
      <c r="I5" t="s">
        <v>13</v>
      </c>
    </row>
    <row r="6" spans="1:11" x14ac:dyDescent="0.4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9</v>
      </c>
      <c r="I6" t="s">
        <v>14</v>
      </c>
    </row>
    <row r="7" spans="1:11" x14ac:dyDescent="0.4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9</v>
      </c>
      <c r="I7" t="s">
        <v>15</v>
      </c>
    </row>
    <row r="8" spans="1:11" x14ac:dyDescent="0.4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9</v>
      </c>
      <c r="I8" t="s">
        <v>16</v>
      </c>
    </row>
    <row r="9" spans="1:11" x14ac:dyDescent="0.4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9</v>
      </c>
      <c r="I9" t="s">
        <v>17</v>
      </c>
    </row>
    <row r="10" spans="1:11" x14ac:dyDescent="0.4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9</v>
      </c>
      <c r="I10" t="s">
        <v>18</v>
      </c>
    </row>
    <row r="11" spans="1:11" x14ac:dyDescent="0.4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9</v>
      </c>
      <c r="I11" t="s">
        <v>19</v>
      </c>
    </row>
    <row r="12" spans="1:11" x14ac:dyDescent="0.4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9</v>
      </c>
      <c r="I12" t="s">
        <v>20</v>
      </c>
    </row>
    <row r="13" spans="1:11" x14ac:dyDescent="0.4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9</v>
      </c>
      <c r="I13" t="s">
        <v>21</v>
      </c>
    </row>
    <row r="14" spans="1:11" x14ac:dyDescent="0.4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9</v>
      </c>
      <c r="I14" t="s">
        <v>22</v>
      </c>
    </row>
    <row r="15" spans="1:11" x14ac:dyDescent="0.4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9</v>
      </c>
      <c r="I15" t="s">
        <v>23</v>
      </c>
    </row>
    <row r="16" spans="1:11" x14ac:dyDescent="0.4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24</v>
      </c>
      <c r="I16" t="s">
        <v>25</v>
      </c>
    </row>
    <row r="17" spans="1:9" x14ac:dyDescent="0.4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9</v>
      </c>
      <c r="I17" t="s">
        <v>26</v>
      </c>
    </row>
    <row r="18" spans="1:9" x14ac:dyDescent="0.4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9</v>
      </c>
      <c r="I18" t="s">
        <v>27</v>
      </c>
    </row>
    <row r="19" spans="1:9" x14ac:dyDescent="0.4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9</v>
      </c>
      <c r="I19" t="s">
        <v>28</v>
      </c>
    </row>
    <row r="20" spans="1:9" x14ac:dyDescent="0.4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24</v>
      </c>
      <c r="I20" t="s">
        <v>29</v>
      </c>
    </row>
    <row r="21" spans="1:9" x14ac:dyDescent="0.4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30</v>
      </c>
      <c r="I21" t="s">
        <v>31</v>
      </c>
    </row>
    <row r="22" spans="1:9" x14ac:dyDescent="0.4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30</v>
      </c>
      <c r="I22" t="s">
        <v>32</v>
      </c>
    </row>
    <row r="23" spans="1:9" x14ac:dyDescent="0.4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30</v>
      </c>
      <c r="I23" t="s">
        <v>33</v>
      </c>
    </row>
    <row r="24" spans="1:9" x14ac:dyDescent="0.4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30</v>
      </c>
      <c r="I24" t="s">
        <v>34</v>
      </c>
    </row>
    <row r="25" spans="1:9" x14ac:dyDescent="0.4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30</v>
      </c>
      <c r="I25" t="s">
        <v>35</v>
      </c>
    </row>
    <row r="26" spans="1:9" x14ac:dyDescent="0.4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9</v>
      </c>
      <c r="I26" t="s">
        <v>36</v>
      </c>
    </row>
    <row r="27" spans="1:9" x14ac:dyDescent="0.4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9</v>
      </c>
      <c r="I27" t="s">
        <v>37</v>
      </c>
    </row>
    <row r="28" spans="1:9" x14ac:dyDescent="0.4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9</v>
      </c>
      <c r="I28" t="s">
        <v>38</v>
      </c>
    </row>
    <row r="29" spans="1:9" x14ac:dyDescent="0.4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9</v>
      </c>
      <c r="I29" t="s">
        <v>39</v>
      </c>
    </row>
    <row r="30" spans="1:9" x14ac:dyDescent="0.4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9</v>
      </c>
      <c r="I30" t="s">
        <v>40</v>
      </c>
    </row>
    <row r="31" spans="1:9" x14ac:dyDescent="0.4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24</v>
      </c>
      <c r="I31" t="s">
        <v>29</v>
      </c>
    </row>
    <row r="32" spans="1:9" x14ac:dyDescent="0.4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9</v>
      </c>
      <c r="I32" t="s">
        <v>41</v>
      </c>
    </row>
    <row r="33" spans="1:9" x14ac:dyDescent="0.4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24</v>
      </c>
      <c r="I33" t="s">
        <v>42</v>
      </c>
    </row>
    <row r="34" spans="1:9" x14ac:dyDescent="0.4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9</v>
      </c>
      <c r="I34" t="s">
        <v>43</v>
      </c>
    </row>
    <row r="35" spans="1:9" x14ac:dyDescent="0.4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9</v>
      </c>
      <c r="I35" t="s">
        <v>36</v>
      </c>
    </row>
    <row r="36" spans="1:9" x14ac:dyDescent="0.4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9</v>
      </c>
      <c r="I36" t="s">
        <v>44</v>
      </c>
    </row>
    <row r="37" spans="1:9" x14ac:dyDescent="0.4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9</v>
      </c>
      <c r="I37" t="s">
        <v>10</v>
      </c>
    </row>
    <row r="38" spans="1:9" x14ac:dyDescent="0.4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9</v>
      </c>
      <c r="I38" t="s">
        <v>45</v>
      </c>
    </row>
    <row r="39" spans="1:9" x14ac:dyDescent="0.4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9</v>
      </c>
      <c r="I39" t="s">
        <v>46</v>
      </c>
    </row>
    <row r="40" spans="1:9" x14ac:dyDescent="0.4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9</v>
      </c>
      <c r="I40" t="s">
        <v>16</v>
      </c>
    </row>
    <row r="41" spans="1:9" x14ac:dyDescent="0.4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9</v>
      </c>
      <c r="I41" t="s">
        <v>47</v>
      </c>
    </row>
    <row r="42" spans="1:9" x14ac:dyDescent="0.4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9</v>
      </c>
      <c r="I42" t="s">
        <v>15</v>
      </c>
    </row>
    <row r="43" spans="1:9" x14ac:dyDescent="0.4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9</v>
      </c>
      <c r="I43" t="s">
        <v>17</v>
      </c>
    </row>
    <row r="44" spans="1:9" x14ac:dyDescent="0.4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9</v>
      </c>
      <c r="I44" t="s">
        <v>48</v>
      </c>
    </row>
    <row r="45" spans="1:9" x14ac:dyDescent="0.4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9</v>
      </c>
      <c r="I45" t="s">
        <v>49</v>
      </c>
    </row>
    <row r="46" spans="1:9" x14ac:dyDescent="0.4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9</v>
      </c>
      <c r="I46" t="s">
        <v>50</v>
      </c>
    </row>
    <row r="47" spans="1:9" x14ac:dyDescent="0.4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9</v>
      </c>
      <c r="I47" t="s">
        <v>51</v>
      </c>
    </row>
    <row r="48" spans="1:9" x14ac:dyDescent="0.4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9</v>
      </c>
      <c r="I48" t="s">
        <v>52</v>
      </c>
    </row>
    <row r="49" spans="1:9" x14ac:dyDescent="0.4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9</v>
      </c>
      <c r="I49" t="s">
        <v>53</v>
      </c>
    </row>
    <row r="50" spans="1:9" x14ac:dyDescent="0.4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9</v>
      </c>
      <c r="I50" t="s">
        <v>54</v>
      </c>
    </row>
    <row r="51" spans="1:9" x14ac:dyDescent="0.4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9</v>
      </c>
      <c r="I51" t="s">
        <v>55</v>
      </c>
    </row>
    <row r="52" spans="1:9" x14ac:dyDescent="0.4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30</v>
      </c>
      <c r="I52" t="s">
        <v>56</v>
      </c>
    </row>
    <row r="53" spans="1:9" x14ac:dyDescent="0.4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30</v>
      </c>
      <c r="I53" t="s">
        <v>57</v>
      </c>
    </row>
    <row r="54" spans="1:9" x14ac:dyDescent="0.4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30</v>
      </c>
      <c r="I54" t="s">
        <v>58</v>
      </c>
    </row>
    <row r="55" spans="1:9" x14ac:dyDescent="0.4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24</v>
      </c>
      <c r="I55" t="s">
        <v>59</v>
      </c>
    </row>
    <row r="56" spans="1:9" x14ac:dyDescent="0.4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24</v>
      </c>
      <c r="I56" t="s">
        <v>60</v>
      </c>
    </row>
    <row r="57" spans="1:9" x14ac:dyDescent="0.4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30</v>
      </c>
      <c r="I57" t="s">
        <v>61</v>
      </c>
    </row>
    <row r="58" spans="1:9" x14ac:dyDescent="0.4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9</v>
      </c>
      <c r="I58" t="s">
        <v>62</v>
      </c>
    </row>
    <row r="59" spans="1:9" x14ac:dyDescent="0.4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24</v>
      </c>
      <c r="I59" t="s">
        <v>63</v>
      </c>
    </row>
    <row r="60" spans="1:9" x14ac:dyDescent="0.4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9</v>
      </c>
      <c r="I60" t="s">
        <v>64</v>
      </c>
    </row>
    <row r="61" spans="1:9" x14ac:dyDescent="0.4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30</v>
      </c>
      <c r="I61" t="s">
        <v>65</v>
      </c>
    </row>
    <row r="62" spans="1:9" x14ac:dyDescent="0.4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9</v>
      </c>
      <c r="I62" t="s">
        <v>66</v>
      </c>
    </row>
    <row r="63" spans="1:9" x14ac:dyDescent="0.4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9</v>
      </c>
      <c r="I63" t="s">
        <v>67</v>
      </c>
    </row>
    <row r="64" spans="1:9" x14ac:dyDescent="0.4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9</v>
      </c>
      <c r="I64" t="s">
        <v>16</v>
      </c>
    </row>
    <row r="65" spans="1:9" x14ac:dyDescent="0.4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9</v>
      </c>
      <c r="I65" t="s">
        <v>18</v>
      </c>
    </row>
    <row r="66" spans="1:9" x14ac:dyDescent="0.4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9</v>
      </c>
      <c r="I66" t="s">
        <v>17</v>
      </c>
    </row>
    <row r="67" spans="1:9" x14ac:dyDescent="0.4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9</v>
      </c>
      <c r="I67" t="s">
        <v>15</v>
      </c>
    </row>
    <row r="68" spans="1:9" x14ac:dyDescent="0.4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9</v>
      </c>
      <c r="I68" t="s">
        <v>68</v>
      </c>
    </row>
    <row r="69" spans="1:9" x14ac:dyDescent="0.4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9</v>
      </c>
      <c r="I69" t="s">
        <v>69</v>
      </c>
    </row>
    <row r="70" spans="1:9" x14ac:dyDescent="0.4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9</v>
      </c>
      <c r="I70" t="s">
        <v>70</v>
      </c>
    </row>
    <row r="71" spans="1:9" x14ac:dyDescent="0.4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9</v>
      </c>
      <c r="I71" t="s">
        <v>71</v>
      </c>
    </row>
    <row r="72" spans="1:9" x14ac:dyDescent="0.4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9</v>
      </c>
      <c r="I72" t="s">
        <v>72</v>
      </c>
    </row>
    <row r="73" spans="1:9" x14ac:dyDescent="0.4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24</v>
      </c>
      <c r="I73" t="s">
        <v>73</v>
      </c>
    </row>
    <row r="74" spans="1:9" x14ac:dyDescent="0.4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9</v>
      </c>
      <c r="I74" t="s">
        <v>74</v>
      </c>
    </row>
    <row r="75" spans="1:9" x14ac:dyDescent="0.4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9</v>
      </c>
      <c r="I75" t="s">
        <v>75</v>
      </c>
    </row>
    <row r="76" spans="1:9" x14ac:dyDescent="0.4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9</v>
      </c>
      <c r="I76" t="s">
        <v>76</v>
      </c>
    </row>
    <row r="77" spans="1:9" x14ac:dyDescent="0.4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9</v>
      </c>
      <c r="I77" t="s">
        <v>77</v>
      </c>
    </row>
    <row r="78" spans="1:9" x14ac:dyDescent="0.4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30</v>
      </c>
      <c r="I78" t="s">
        <v>78</v>
      </c>
    </row>
    <row r="79" spans="1:9" x14ac:dyDescent="0.4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30</v>
      </c>
      <c r="I79" t="s">
        <v>79</v>
      </c>
    </row>
    <row r="80" spans="1:9" x14ac:dyDescent="0.4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30</v>
      </c>
      <c r="I80" t="s">
        <v>80</v>
      </c>
    </row>
    <row r="81" spans="1:9" x14ac:dyDescent="0.4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30</v>
      </c>
      <c r="I81" t="s">
        <v>81</v>
      </c>
    </row>
    <row r="82" spans="1:9" x14ac:dyDescent="0.4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9</v>
      </c>
      <c r="I82" t="s">
        <v>82</v>
      </c>
    </row>
    <row r="83" spans="1:9" x14ac:dyDescent="0.4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24</v>
      </c>
      <c r="I83" t="s">
        <v>83</v>
      </c>
    </row>
    <row r="84" spans="1:9" x14ac:dyDescent="0.4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24</v>
      </c>
      <c r="I84" t="s">
        <v>84</v>
      </c>
    </row>
    <row r="85" spans="1:9" x14ac:dyDescent="0.4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9</v>
      </c>
      <c r="I85" t="s">
        <v>85</v>
      </c>
    </row>
    <row r="86" spans="1:9" x14ac:dyDescent="0.4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24</v>
      </c>
      <c r="I86" t="s">
        <v>86</v>
      </c>
    </row>
    <row r="87" spans="1:9" x14ac:dyDescent="0.4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9</v>
      </c>
      <c r="I87" t="s">
        <v>87</v>
      </c>
    </row>
    <row r="88" spans="1:9" x14ac:dyDescent="0.4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9</v>
      </c>
      <c r="I88" t="s">
        <v>46</v>
      </c>
    </row>
    <row r="89" spans="1:9" x14ac:dyDescent="0.4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9</v>
      </c>
      <c r="I89" t="s">
        <v>88</v>
      </c>
    </row>
    <row r="90" spans="1:9" x14ac:dyDescent="0.4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9</v>
      </c>
      <c r="I90" t="s">
        <v>89</v>
      </c>
    </row>
    <row r="91" spans="1:9" x14ac:dyDescent="0.4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9</v>
      </c>
      <c r="I91" t="s">
        <v>90</v>
      </c>
    </row>
    <row r="92" spans="1:9" x14ac:dyDescent="0.4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9</v>
      </c>
      <c r="I92" t="s">
        <v>91</v>
      </c>
    </row>
    <row r="93" spans="1:9" x14ac:dyDescent="0.4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9</v>
      </c>
      <c r="I93" t="s">
        <v>92</v>
      </c>
    </row>
    <row r="94" spans="1:9" x14ac:dyDescent="0.4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9</v>
      </c>
      <c r="I94" t="s">
        <v>93</v>
      </c>
    </row>
    <row r="95" spans="1:9" x14ac:dyDescent="0.4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9</v>
      </c>
      <c r="I95" t="s">
        <v>94</v>
      </c>
    </row>
    <row r="96" spans="1:9" x14ac:dyDescent="0.4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9</v>
      </c>
      <c r="I96" t="s">
        <v>95</v>
      </c>
    </row>
    <row r="97" spans="1:9" x14ac:dyDescent="0.4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9</v>
      </c>
      <c r="I97" t="s">
        <v>96</v>
      </c>
    </row>
    <row r="98" spans="1:9" x14ac:dyDescent="0.4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9</v>
      </c>
      <c r="I98" t="s">
        <v>97</v>
      </c>
    </row>
    <row r="99" spans="1:9" x14ac:dyDescent="0.4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9</v>
      </c>
      <c r="I99" t="s">
        <v>98</v>
      </c>
    </row>
    <row r="100" spans="1:9" x14ac:dyDescent="0.4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9</v>
      </c>
      <c r="I100" t="s">
        <v>99</v>
      </c>
    </row>
    <row r="101" spans="1:9" x14ac:dyDescent="0.4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9</v>
      </c>
      <c r="I101" t="s">
        <v>27</v>
      </c>
    </row>
    <row r="102" spans="1:9" x14ac:dyDescent="0.4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9</v>
      </c>
      <c r="I102" t="s">
        <v>28</v>
      </c>
    </row>
    <row r="103" spans="1:9" x14ac:dyDescent="0.4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9</v>
      </c>
      <c r="I103" t="s">
        <v>26</v>
      </c>
    </row>
    <row r="104" spans="1:9" x14ac:dyDescent="0.4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30</v>
      </c>
      <c r="I104" t="s">
        <v>100</v>
      </c>
    </row>
    <row r="105" spans="1:9" x14ac:dyDescent="0.4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9</v>
      </c>
      <c r="I105" t="s">
        <v>16</v>
      </c>
    </row>
    <row r="106" spans="1:9" x14ac:dyDescent="0.4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9</v>
      </c>
      <c r="I106" t="s">
        <v>101</v>
      </c>
    </row>
    <row r="107" spans="1:9" x14ac:dyDescent="0.4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9</v>
      </c>
      <c r="I107" t="s">
        <v>102</v>
      </c>
    </row>
    <row r="108" spans="1:9" x14ac:dyDescent="0.4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9</v>
      </c>
      <c r="I108" t="s">
        <v>103</v>
      </c>
    </row>
    <row r="109" spans="1:9" x14ac:dyDescent="0.4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9</v>
      </c>
      <c r="I109" t="s">
        <v>36</v>
      </c>
    </row>
    <row r="110" spans="1:9" x14ac:dyDescent="0.4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24</v>
      </c>
      <c r="I110" t="s">
        <v>104</v>
      </c>
    </row>
    <row r="111" spans="1:9" x14ac:dyDescent="0.4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9</v>
      </c>
      <c r="I111" t="s">
        <v>66</v>
      </c>
    </row>
    <row r="112" spans="1:9" x14ac:dyDescent="0.4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24</v>
      </c>
      <c r="I112" t="s">
        <v>105</v>
      </c>
    </row>
    <row r="113" spans="1:9" x14ac:dyDescent="0.4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24</v>
      </c>
      <c r="I113" t="s">
        <v>106</v>
      </c>
    </row>
    <row r="114" spans="1:9" x14ac:dyDescent="0.4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9</v>
      </c>
      <c r="I114" t="s">
        <v>43</v>
      </c>
    </row>
    <row r="115" spans="1:9" x14ac:dyDescent="0.4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9</v>
      </c>
      <c r="I115" t="s">
        <v>107</v>
      </c>
    </row>
    <row r="116" spans="1:9" x14ac:dyDescent="0.4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30</v>
      </c>
      <c r="I116" t="s">
        <v>108</v>
      </c>
    </row>
    <row r="117" spans="1:9" x14ac:dyDescent="0.4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9</v>
      </c>
      <c r="I117" t="s">
        <v>109</v>
      </c>
    </row>
    <row r="118" spans="1:9" x14ac:dyDescent="0.4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9</v>
      </c>
      <c r="I118" t="s">
        <v>110</v>
      </c>
    </row>
    <row r="119" spans="1:9" x14ac:dyDescent="0.4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30</v>
      </c>
      <c r="I119" t="s">
        <v>111</v>
      </c>
    </row>
    <row r="120" spans="1:9" x14ac:dyDescent="0.4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30</v>
      </c>
      <c r="I120" t="s">
        <v>112</v>
      </c>
    </row>
    <row r="121" spans="1:9" x14ac:dyDescent="0.4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30</v>
      </c>
      <c r="I121" t="s">
        <v>113</v>
      </c>
    </row>
    <row r="122" spans="1:9" x14ac:dyDescent="0.4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30</v>
      </c>
      <c r="I122" t="s">
        <v>114</v>
      </c>
    </row>
    <row r="123" spans="1:9" x14ac:dyDescent="0.4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9</v>
      </c>
      <c r="I123" t="s">
        <v>115</v>
      </c>
    </row>
    <row r="124" spans="1:9" x14ac:dyDescent="0.4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30</v>
      </c>
      <c r="I124" t="s">
        <v>116</v>
      </c>
    </row>
    <row r="125" spans="1:9" x14ac:dyDescent="0.4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24</v>
      </c>
      <c r="I125" t="s">
        <v>117</v>
      </c>
    </row>
    <row r="126" spans="1:9" x14ac:dyDescent="0.4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9</v>
      </c>
      <c r="I126" t="s">
        <v>118</v>
      </c>
    </row>
    <row r="127" spans="1:9" x14ac:dyDescent="0.4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9</v>
      </c>
      <c r="I127" t="s">
        <v>26</v>
      </c>
    </row>
    <row r="128" spans="1:9" x14ac:dyDescent="0.4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9</v>
      </c>
      <c r="I128" t="s">
        <v>28</v>
      </c>
    </row>
    <row r="129" spans="1:9" x14ac:dyDescent="0.4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9</v>
      </c>
      <c r="I129" t="s">
        <v>27</v>
      </c>
    </row>
    <row r="130" spans="1:9" x14ac:dyDescent="0.4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9</v>
      </c>
      <c r="I130" t="s">
        <v>119</v>
      </c>
    </row>
    <row r="131" spans="1:9" x14ac:dyDescent="0.4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24</v>
      </c>
      <c r="I131" t="s">
        <v>120</v>
      </c>
    </row>
    <row r="132" spans="1:9" x14ac:dyDescent="0.4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9</v>
      </c>
      <c r="I132" t="s">
        <v>43</v>
      </c>
    </row>
    <row r="133" spans="1:9" x14ac:dyDescent="0.4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24</v>
      </c>
      <c r="I133" t="s">
        <v>59</v>
      </c>
    </row>
    <row r="134" spans="1:9" x14ac:dyDescent="0.4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9</v>
      </c>
      <c r="I134" t="s">
        <v>66</v>
      </c>
    </row>
    <row r="135" spans="1:9" x14ac:dyDescent="0.4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9</v>
      </c>
      <c r="I135" t="s">
        <v>121</v>
      </c>
    </row>
    <row r="136" spans="1:9" x14ac:dyDescent="0.4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9</v>
      </c>
      <c r="I136" t="s">
        <v>46</v>
      </c>
    </row>
    <row r="137" spans="1:9" x14ac:dyDescent="0.4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9</v>
      </c>
      <c r="I137" t="s">
        <v>122</v>
      </c>
    </row>
    <row r="138" spans="1:9" x14ac:dyDescent="0.4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9</v>
      </c>
      <c r="I138" t="s">
        <v>89</v>
      </c>
    </row>
    <row r="139" spans="1:9" x14ac:dyDescent="0.4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9</v>
      </c>
      <c r="I139" t="s">
        <v>123</v>
      </c>
    </row>
    <row r="140" spans="1:9" x14ac:dyDescent="0.4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9</v>
      </c>
      <c r="I140" t="s">
        <v>124</v>
      </c>
    </row>
    <row r="141" spans="1:9" x14ac:dyDescent="0.4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9</v>
      </c>
      <c r="I141" t="s">
        <v>76</v>
      </c>
    </row>
    <row r="142" spans="1:9" x14ac:dyDescent="0.4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9</v>
      </c>
      <c r="I142" t="s">
        <v>74</v>
      </c>
    </row>
    <row r="143" spans="1:9" x14ac:dyDescent="0.4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30</v>
      </c>
      <c r="I143" t="s">
        <v>125</v>
      </c>
    </row>
    <row r="144" spans="1:9" x14ac:dyDescent="0.4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30</v>
      </c>
      <c r="I144" t="s">
        <v>126</v>
      </c>
    </row>
    <row r="145" spans="1:9" x14ac:dyDescent="0.4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30</v>
      </c>
      <c r="I145" t="s">
        <v>112</v>
      </c>
    </row>
    <row r="146" spans="1:9" x14ac:dyDescent="0.4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24</v>
      </c>
      <c r="I146" t="s">
        <v>42</v>
      </c>
    </row>
    <row r="147" spans="1:9" x14ac:dyDescent="0.4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24</v>
      </c>
      <c r="I147" t="s">
        <v>127</v>
      </c>
    </row>
    <row r="148" spans="1:9" x14ac:dyDescent="0.4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9</v>
      </c>
      <c r="I148" t="s">
        <v>128</v>
      </c>
    </row>
    <row r="149" spans="1:9" x14ac:dyDescent="0.4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30</v>
      </c>
      <c r="I149" t="s">
        <v>111</v>
      </c>
    </row>
    <row r="150" spans="1:9" x14ac:dyDescent="0.4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30</v>
      </c>
      <c r="I150" t="s">
        <v>129</v>
      </c>
    </row>
    <row r="151" spans="1:9" x14ac:dyDescent="0.4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24</v>
      </c>
      <c r="I151" t="s">
        <v>130</v>
      </c>
    </row>
    <row r="152" spans="1:9" x14ac:dyDescent="0.4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24</v>
      </c>
      <c r="I152" t="s">
        <v>131</v>
      </c>
    </row>
    <row r="153" spans="1:9" x14ac:dyDescent="0.4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30</v>
      </c>
      <c r="I153" t="s">
        <v>132</v>
      </c>
    </row>
    <row r="154" spans="1:9" x14ac:dyDescent="0.4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9</v>
      </c>
      <c r="I154" t="s">
        <v>133</v>
      </c>
    </row>
    <row r="155" spans="1:9" x14ac:dyDescent="0.4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9</v>
      </c>
      <c r="I155" t="s">
        <v>119</v>
      </c>
    </row>
    <row r="156" spans="1:9" x14ac:dyDescent="0.4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9</v>
      </c>
      <c r="I156" t="s">
        <v>134</v>
      </c>
    </row>
    <row r="157" spans="1:9" x14ac:dyDescent="0.4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9</v>
      </c>
      <c r="I157" t="s">
        <v>28</v>
      </c>
    </row>
    <row r="158" spans="1:9" x14ac:dyDescent="0.4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9</v>
      </c>
      <c r="I158" t="s">
        <v>18</v>
      </c>
    </row>
    <row r="159" spans="1:9" x14ac:dyDescent="0.4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9</v>
      </c>
      <c r="I159" t="s">
        <v>135</v>
      </c>
    </row>
    <row r="160" spans="1:9" x14ac:dyDescent="0.4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9</v>
      </c>
      <c r="I160" t="s">
        <v>136</v>
      </c>
    </row>
    <row r="161" spans="1:9" x14ac:dyDescent="0.4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9</v>
      </c>
      <c r="I161" t="s">
        <v>93</v>
      </c>
    </row>
    <row r="162" spans="1:9" x14ac:dyDescent="0.4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9</v>
      </c>
      <c r="I162" t="s">
        <v>137</v>
      </c>
    </row>
    <row r="163" spans="1:9" x14ac:dyDescent="0.4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9</v>
      </c>
      <c r="I163" t="s">
        <v>138</v>
      </c>
    </row>
    <row r="164" spans="1:9" x14ac:dyDescent="0.4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9</v>
      </c>
      <c r="I164" t="s">
        <v>46</v>
      </c>
    </row>
    <row r="165" spans="1:9" x14ac:dyDescent="0.4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9</v>
      </c>
      <c r="I165" t="s">
        <v>139</v>
      </c>
    </row>
    <row r="166" spans="1:9" x14ac:dyDescent="0.4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9</v>
      </c>
      <c r="I166" t="s">
        <v>140</v>
      </c>
    </row>
    <row r="167" spans="1:9" x14ac:dyDescent="0.4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9</v>
      </c>
      <c r="I167" t="s">
        <v>141</v>
      </c>
    </row>
    <row r="168" spans="1:9" x14ac:dyDescent="0.4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9</v>
      </c>
      <c r="I168" t="s">
        <v>142</v>
      </c>
    </row>
    <row r="169" spans="1:9" x14ac:dyDescent="0.4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24</v>
      </c>
      <c r="I169" t="s">
        <v>143</v>
      </c>
    </row>
    <row r="170" spans="1:9" x14ac:dyDescent="0.4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9</v>
      </c>
      <c r="I170" t="s">
        <v>43</v>
      </c>
    </row>
    <row r="171" spans="1:9" x14ac:dyDescent="0.4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9</v>
      </c>
      <c r="I171" t="s">
        <v>36</v>
      </c>
    </row>
    <row r="172" spans="1:9" x14ac:dyDescent="0.4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9</v>
      </c>
      <c r="I172" t="s">
        <v>144</v>
      </c>
    </row>
    <row r="173" spans="1:9" x14ac:dyDescent="0.4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24</v>
      </c>
      <c r="I173" t="s">
        <v>42</v>
      </c>
    </row>
    <row r="174" spans="1:9" x14ac:dyDescent="0.4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30</v>
      </c>
      <c r="I174" t="s">
        <v>126</v>
      </c>
    </row>
    <row r="175" spans="1:9" x14ac:dyDescent="0.4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24</v>
      </c>
      <c r="I175" t="s">
        <v>127</v>
      </c>
    </row>
    <row r="176" spans="1:9" x14ac:dyDescent="0.4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9</v>
      </c>
      <c r="I176" t="s">
        <v>43</v>
      </c>
    </row>
    <row r="177" spans="1:9" x14ac:dyDescent="0.4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30</v>
      </c>
      <c r="I177" t="s">
        <v>145</v>
      </c>
    </row>
    <row r="178" spans="1:9" x14ac:dyDescent="0.4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9</v>
      </c>
      <c r="I178" t="s">
        <v>146</v>
      </c>
    </row>
    <row r="179" spans="1:9" x14ac:dyDescent="0.4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30</v>
      </c>
      <c r="I179" t="s">
        <v>113</v>
      </c>
    </row>
    <row r="180" spans="1:9" x14ac:dyDescent="0.4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30</v>
      </c>
      <c r="I180" t="s">
        <v>32</v>
      </c>
    </row>
    <row r="181" spans="1:9" x14ac:dyDescent="0.4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30</v>
      </c>
      <c r="I181" t="s">
        <v>147</v>
      </c>
    </row>
    <row r="182" spans="1:9" x14ac:dyDescent="0.4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30</v>
      </c>
      <c r="I182" t="s">
        <v>116</v>
      </c>
    </row>
    <row r="183" spans="1:9" x14ac:dyDescent="0.4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24</v>
      </c>
      <c r="I183" t="s">
        <v>148</v>
      </c>
    </row>
    <row r="184" spans="1:9" x14ac:dyDescent="0.4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30</v>
      </c>
      <c r="I184" t="s">
        <v>149</v>
      </c>
    </row>
    <row r="185" spans="1:9" x14ac:dyDescent="0.4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30</v>
      </c>
      <c r="I185" t="s">
        <v>56</v>
      </c>
    </row>
    <row r="186" spans="1:9" x14ac:dyDescent="0.4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9</v>
      </c>
      <c r="I186" t="s">
        <v>150</v>
      </c>
    </row>
    <row r="187" spans="1:9" x14ac:dyDescent="0.4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9</v>
      </c>
      <c r="I187" t="s">
        <v>128</v>
      </c>
    </row>
    <row r="188" spans="1:9" x14ac:dyDescent="0.4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30</v>
      </c>
      <c r="I188" t="s">
        <v>151</v>
      </c>
    </row>
    <row r="189" spans="1:9" x14ac:dyDescent="0.4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9</v>
      </c>
      <c r="I189" t="s">
        <v>121</v>
      </c>
    </row>
    <row r="190" spans="1:9" x14ac:dyDescent="0.4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9</v>
      </c>
      <c r="I190" t="s">
        <v>152</v>
      </c>
    </row>
    <row r="191" spans="1:9" x14ac:dyDescent="0.4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9</v>
      </c>
      <c r="I191" t="s">
        <v>46</v>
      </c>
    </row>
    <row r="192" spans="1:9" x14ac:dyDescent="0.4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9</v>
      </c>
      <c r="I192" t="s">
        <v>89</v>
      </c>
    </row>
    <row r="193" spans="1:9" x14ac:dyDescent="0.4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9</v>
      </c>
      <c r="I193" t="s">
        <v>98</v>
      </c>
    </row>
    <row r="194" spans="1:9" x14ac:dyDescent="0.4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9</v>
      </c>
      <c r="I194" t="s">
        <v>119</v>
      </c>
    </row>
    <row r="195" spans="1:9" x14ac:dyDescent="0.4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9</v>
      </c>
      <c r="I195" t="s">
        <v>28</v>
      </c>
    </row>
    <row r="196" spans="1:9" x14ac:dyDescent="0.4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9</v>
      </c>
      <c r="I196" t="s">
        <v>27</v>
      </c>
    </row>
    <row r="197" spans="1:9" x14ac:dyDescent="0.4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9</v>
      </c>
      <c r="I197" t="s">
        <v>153</v>
      </c>
    </row>
    <row r="198" spans="1:9" x14ac:dyDescent="0.4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9</v>
      </c>
      <c r="I198" t="s">
        <v>154</v>
      </c>
    </row>
    <row r="199" spans="1:9" x14ac:dyDescent="0.4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30</v>
      </c>
      <c r="I199" t="s">
        <v>155</v>
      </c>
    </row>
    <row r="200" spans="1:9" x14ac:dyDescent="0.4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24</v>
      </c>
      <c r="I200" t="s">
        <v>130</v>
      </c>
    </row>
    <row r="201" spans="1:9" x14ac:dyDescent="0.4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9</v>
      </c>
      <c r="I201" t="s">
        <v>156</v>
      </c>
    </row>
    <row r="202" spans="1:9" x14ac:dyDescent="0.4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9</v>
      </c>
      <c r="I202" t="s">
        <v>157</v>
      </c>
    </row>
    <row r="203" spans="1:9" x14ac:dyDescent="0.4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9</v>
      </c>
      <c r="I203" t="s">
        <v>158</v>
      </c>
    </row>
    <row r="204" spans="1:9" x14ac:dyDescent="0.4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9</v>
      </c>
      <c r="I204" t="s">
        <v>159</v>
      </c>
    </row>
    <row r="205" spans="1:9" x14ac:dyDescent="0.4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30</v>
      </c>
      <c r="I205" t="s">
        <v>145</v>
      </c>
    </row>
    <row r="206" spans="1:9" x14ac:dyDescent="0.4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24</v>
      </c>
      <c r="I206" t="s">
        <v>160</v>
      </c>
    </row>
    <row r="207" spans="1:9" x14ac:dyDescent="0.4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24</v>
      </c>
      <c r="I207" t="s">
        <v>143</v>
      </c>
    </row>
    <row r="208" spans="1:9" x14ac:dyDescent="0.4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9</v>
      </c>
      <c r="I208" t="s">
        <v>43</v>
      </c>
    </row>
    <row r="209" spans="1:9" x14ac:dyDescent="0.4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30</v>
      </c>
      <c r="I209" t="s">
        <v>161</v>
      </c>
    </row>
    <row r="210" spans="1:9" x14ac:dyDescent="0.4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9</v>
      </c>
      <c r="I210" t="s">
        <v>162</v>
      </c>
    </row>
    <row r="211" spans="1:9" x14ac:dyDescent="0.4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30</v>
      </c>
      <c r="I211" t="s">
        <v>32</v>
      </c>
    </row>
    <row r="212" spans="1:9" x14ac:dyDescent="0.4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24</v>
      </c>
      <c r="I212" t="s">
        <v>117</v>
      </c>
    </row>
    <row r="213" spans="1:9" x14ac:dyDescent="0.4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30</v>
      </c>
      <c r="I213" t="s">
        <v>163</v>
      </c>
    </row>
    <row r="214" spans="1:9" x14ac:dyDescent="0.4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9</v>
      </c>
      <c r="I214" t="s">
        <v>164</v>
      </c>
    </row>
    <row r="215" spans="1:9" x14ac:dyDescent="0.4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9</v>
      </c>
      <c r="I215" t="s">
        <v>165</v>
      </c>
    </row>
    <row r="216" spans="1:9" x14ac:dyDescent="0.4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9</v>
      </c>
      <c r="I216" t="s">
        <v>166</v>
      </c>
    </row>
    <row r="217" spans="1:9" x14ac:dyDescent="0.4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9</v>
      </c>
      <c r="I217" t="s">
        <v>167</v>
      </c>
    </row>
    <row r="218" spans="1:9" x14ac:dyDescent="0.4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24</v>
      </c>
      <c r="I218" t="s">
        <v>168</v>
      </c>
    </row>
    <row r="219" spans="1:9" x14ac:dyDescent="0.4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9</v>
      </c>
      <c r="I219" t="s">
        <v>169</v>
      </c>
    </row>
    <row r="220" spans="1:9" x14ac:dyDescent="0.4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30</v>
      </c>
      <c r="I220" t="s">
        <v>170</v>
      </c>
    </row>
    <row r="221" spans="1:9" x14ac:dyDescent="0.4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9</v>
      </c>
      <c r="I221" t="s">
        <v>171</v>
      </c>
    </row>
    <row r="222" spans="1:9" x14ac:dyDescent="0.4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24</v>
      </c>
      <c r="I222" t="s">
        <v>172</v>
      </c>
    </row>
    <row r="223" spans="1:9" x14ac:dyDescent="0.4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9</v>
      </c>
      <c r="I223" t="s">
        <v>92</v>
      </c>
    </row>
    <row r="224" spans="1:9" x14ac:dyDescent="0.4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9</v>
      </c>
      <c r="I224" t="s">
        <v>173</v>
      </c>
    </row>
    <row r="225" spans="1:9" x14ac:dyDescent="0.4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9</v>
      </c>
      <c r="I225" t="s">
        <v>174</v>
      </c>
    </row>
    <row r="226" spans="1:9" x14ac:dyDescent="0.4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9</v>
      </c>
      <c r="I226" t="s">
        <v>175</v>
      </c>
    </row>
    <row r="227" spans="1:9" x14ac:dyDescent="0.4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9</v>
      </c>
      <c r="I227" t="s">
        <v>176</v>
      </c>
    </row>
    <row r="228" spans="1:9" x14ac:dyDescent="0.4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9</v>
      </c>
      <c r="I228" t="s">
        <v>177</v>
      </c>
    </row>
    <row r="229" spans="1:9" x14ac:dyDescent="0.4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9</v>
      </c>
      <c r="I229" t="s">
        <v>178</v>
      </c>
    </row>
    <row r="230" spans="1:9" x14ac:dyDescent="0.4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9</v>
      </c>
      <c r="I230" t="s">
        <v>179</v>
      </c>
    </row>
    <row r="231" spans="1:9" x14ac:dyDescent="0.4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9</v>
      </c>
      <c r="I231" t="s">
        <v>180</v>
      </c>
    </row>
    <row r="232" spans="1:9" x14ac:dyDescent="0.4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9</v>
      </c>
      <c r="I232" t="s">
        <v>181</v>
      </c>
    </row>
    <row r="233" spans="1:9" x14ac:dyDescent="0.4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9</v>
      </c>
      <c r="I233" t="s">
        <v>182</v>
      </c>
    </row>
    <row r="234" spans="1:9" x14ac:dyDescent="0.4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9</v>
      </c>
      <c r="I234" t="s">
        <v>183</v>
      </c>
    </row>
    <row r="235" spans="1:9" x14ac:dyDescent="0.4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30</v>
      </c>
      <c r="I235" t="s">
        <v>184</v>
      </c>
    </row>
    <row r="236" spans="1:9" x14ac:dyDescent="0.4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9</v>
      </c>
      <c r="I236" t="s">
        <v>185</v>
      </c>
    </row>
    <row r="237" spans="1:9" x14ac:dyDescent="0.4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24</v>
      </c>
      <c r="I237" t="s">
        <v>186</v>
      </c>
    </row>
    <row r="238" spans="1:9" x14ac:dyDescent="0.4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9</v>
      </c>
      <c r="I238" t="s">
        <v>187</v>
      </c>
    </row>
    <row r="239" spans="1:9" x14ac:dyDescent="0.4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9</v>
      </c>
      <c r="I239" t="s">
        <v>153</v>
      </c>
    </row>
    <row r="240" spans="1:9" x14ac:dyDescent="0.4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9</v>
      </c>
      <c r="I240" t="s">
        <v>188</v>
      </c>
    </row>
    <row r="241" spans="1:9" x14ac:dyDescent="0.4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24</v>
      </c>
      <c r="I241" t="s">
        <v>189</v>
      </c>
    </row>
    <row r="242" spans="1:9" x14ac:dyDescent="0.4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30</v>
      </c>
      <c r="I242" t="s">
        <v>126</v>
      </c>
    </row>
    <row r="243" spans="1:9" x14ac:dyDescent="0.4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24</v>
      </c>
      <c r="I243" t="s">
        <v>190</v>
      </c>
    </row>
    <row r="244" spans="1:9" x14ac:dyDescent="0.4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30</v>
      </c>
      <c r="I244" t="s">
        <v>191</v>
      </c>
    </row>
    <row r="245" spans="1:9" x14ac:dyDescent="0.4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24</v>
      </c>
      <c r="I245" t="s">
        <v>192</v>
      </c>
    </row>
    <row r="246" spans="1:9" x14ac:dyDescent="0.4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30</v>
      </c>
      <c r="I246" t="s">
        <v>193</v>
      </c>
    </row>
    <row r="247" spans="1:9" x14ac:dyDescent="0.4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9</v>
      </c>
      <c r="I247" t="s">
        <v>194</v>
      </c>
    </row>
    <row r="248" spans="1:9" x14ac:dyDescent="0.4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24</v>
      </c>
      <c r="I248" t="s">
        <v>195</v>
      </c>
    </row>
    <row r="249" spans="1:9" x14ac:dyDescent="0.4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24</v>
      </c>
      <c r="I249" t="s">
        <v>196</v>
      </c>
    </row>
    <row r="250" spans="1:9" x14ac:dyDescent="0.4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24</v>
      </c>
      <c r="I250" t="s">
        <v>148</v>
      </c>
    </row>
    <row r="251" spans="1:9" x14ac:dyDescent="0.4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9</v>
      </c>
      <c r="I251" t="s">
        <v>197</v>
      </c>
    </row>
    <row r="252" spans="1:9" x14ac:dyDescent="0.4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9</v>
      </c>
      <c r="I252" t="s">
        <v>198</v>
      </c>
    </row>
    <row r="253" spans="1:9" x14ac:dyDescent="0.4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9</v>
      </c>
      <c r="I253" t="s">
        <v>199</v>
      </c>
    </row>
    <row r="254" spans="1:9" x14ac:dyDescent="0.4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9</v>
      </c>
      <c r="I254" t="s">
        <v>200</v>
      </c>
    </row>
    <row r="255" spans="1:9" x14ac:dyDescent="0.4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9</v>
      </c>
      <c r="I255" t="s">
        <v>88</v>
      </c>
    </row>
    <row r="256" spans="1:9" x14ac:dyDescent="0.4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9</v>
      </c>
      <c r="I256" t="s">
        <v>201</v>
      </c>
    </row>
    <row r="257" spans="1:9" x14ac:dyDescent="0.4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9</v>
      </c>
      <c r="I257" t="s">
        <v>202</v>
      </c>
    </row>
    <row r="258" spans="1:9" x14ac:dyDescent="0.4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9</v>
      </c>
      <c r="I258" t="s">
        <v>203</v>
      </c>
    </row>
    <row r="259" spans="1:9" x14ac:dyDescent="0.4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9</v>
      </c>
      <c r="I259" t="s">
        <v>204</v>
      </c>
    </row>
    <row r="260" spans="1:9" x14ac:dyDescent="0.4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9</v>
      </c>
      <c r="I260" t="s">
        <v>205</v>
      </c>
    </row>
    <row r="261" spans="1:9" x14ac:dyDescent="0.4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9</v>
      </c>
      <c r="I261" t="s">
        <v>206</v>
      </c>
    </row>
    <row r="262" spans="1:9" x14ac:dyDescent="0.4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9</v>
      </c>
      <c r="I262" t="s">
        <v>207</v>
      </c>
    </row>
    <row r="263" spans="1:9" x14ac:dyDescent="0.4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9</v>
      </c>
      <c r="I263" t="s">
        <v>208</v>
      </c>
    </row>
    <row r="264" spans="1:9" x14ac:dyDescent="0.4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9</v>
      </c>
      <c r="I264" t="s">
        <v>181</v>
      </c>
    </row>
    <row r="265" spans="1:9" x14ac:dyDescent="0.4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9</v>
      </c>
      <c r="I265" t="s">
        <v>209</v>
      </c>
    </row>
    <row r="266" spans="1:9" x14ac:dyDescent="0.4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9</v>
      </c>
      <c r="I266" t="s">
        <v>210</v>
      </c>
    </row>
    <row r="267" spans="1:9" x14ac:dyDescent="0.4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9</v>
      </c>
      <c r="I267" t="s">
        <v>211</v>
      </c>
    </row>
    <row r="268" spans="1:9" x14ac:dyDescent="0.4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9</v>
      </c>
      <c r="I268" t="s">
        <v>153</v>
      </c>
    </row>
    <row r="269" spans="1:9" x14ac:dyDescent="0.4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24</v>
      </c>
      <c r="I269" t="s">
        <v>42</v>
      </c>
    </row>
    <row r="270" spans="1:9" x14ac:dyDescent="0.4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24</v>
      </c>
      <c r="I270" t="s">
        <v>212</v>
      </c>
    </row>
    <row r="271" spans="1:9" x14ac:dyDescent="0.4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9</v>
      </c>
      <c r="I271" t="s">
        <v>213</v>
      </c>
    </row>
    <row r="272" spans="1:9" x14ac:dyDescent="0.4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24</v>
      </c>
      <c r="I272" t="s">
        <v>214</v>
      </c>
    </row>
    <row r="273" spans="1:9" x14ac:dyDescent="0.4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9</v>
      </c>
      <c r="I273" t="s">
        <v>215</v>
      </c>
    </row>
    <row r="274" spans="1:9" x14ac:dyDescent="0.4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9</v>
      </c>
      <c r="I274" t="s">
        <v>216</v>
      </c>
    </row>
    <row r="275" spans="1:9" x14ac:dyDescent="0.4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24</v>
      </c>
      <c r="I275" t="s">
        <v>217</v>
      </c>
    </row>
    <row r="276" spans="1:9" x14ac:dyDescent="0.4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30</v>
      </c>
      <c r="I276" t="s">
        <v>218</v>
      </c>
    </row>
    <row r="277" spans="1:9" x14ac:dyDescent="0.4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30</v>
      </c>
      <c r="I277" t="s">
        <v>219</v>
      </c>
    </row>
    <row r="278" spans="1:9" x14ac:dyDescent="0.4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30</v>
      </c>
      <c r="I278" t="s">
        <v>220</v>
      </c>
    </row>
    <row r="279" spans="1:9" x14ac:dyDescent="0.4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30</v>
      </c>
      <c r="I279" t="s">
        <v>221</v>
      </c>
    </row>
    <row r="280" spans="1:9" x14ac:dyDescent="0.4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30</v>
      </c>
      <c r="I280" t="s">
        <v>222</v>
      </c>
    </row>
    <row r="281" spans="1:9" x14ac:dyDescent="0.4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24</v>
      </c>
      <c r="I281" t="s">
        <v>223</v>
      </c>
    </row>
    <row r="282" spans="1:9" x14ac:dyDescent="0.4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9</v>
      </c>
      <c r="I282" t="s">
        <v>224</v>
      </c>
    </row>
    <row r="283" spans="1:9" x14ac:dyDescent="0.4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9</v>
      </c>
      <c r="I283" t="s">
        <v>225</v>
      </c>
    </row>
    <row r="284" spans="1:9" x14ac:dyDescent="0.4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9</v>
      </c>
      <c r="I284" t="s">
        <v>226</v>
      </c>
    </row>
    <row r="285" spans="1:9" x14ac:dyDescent="0.4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9</v>
      </c>
      <c r="I285" t="s">
        <v>227</v>
      </c>
    </row>
    <row r="286" spans="1:9" x14ac:dyDescent="0.4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9</v>
      </c>
      <c r="I286" t="s">
        <v>228</v>
      </c>
    </row>
    <row r="287" spans="1:9" x14ac:dyDescent="0.4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9</v>
      </c>
      <c r="I287" t="s">
        <v>92</v>
      </c>
    </row>
    <row r="288" spans="1:9" x14ac:dyDescent="0.4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9</v>
      </c>
      <c r="I288" t="s">
        <v>229</v>
      </c>
    </row>
    <row r="289" spans="1:9" x14ac:dyDescent="0.4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9</v>
      </c>
      <c r="I289" t="s">
        <v>230</v>
      </c>
    </row>
    <row r="290" spans="1:9" x14ac:dyDescent="0.4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9</v>
      </c>
      <c r="I290" t="s">
        <v>231</v>
      </c>
    </row>
    <row r="291" spans="1:9" x14ac:dyDescent="0.4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9</v>
      </c>
      <c r="I291" t="s">
        <v>23</v>
      </c>
    </row>
    <row r="292" spans="1:9" x14ac:dyDescent="0.4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9</v>
      </c>
      <c r="I292" t="s">
        <v>49</v>
      </c>
    </row>
    <row r="293" spans="1:9" x14ac:dyDescent="0.4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9</v>
      </c>
      <c r="I293" t="s">
        <v>232</v>
      </c>
    </row>
    <row r="294" spans="1:9" x14ac:dyDescent="0.4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9</v>
      </c>
      <c r="I294" t="s">
        <v>233</v>
      </c>
    </row>
    <row r="295" spans="1:9" x14ac:dyDescent="0.4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30</v>
      </c>
      <c r="I295" t="s">
        <v>234</v>
      </c>
    </row>
    <row r="296" spans="1:9" x14ac:dyDescent="0.4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24</v>
      </c>
      <c r="I296" t="s">
        <v>235</v>
      </c>
    </row>
    <row r="297" spans="1:9" x14ac:dyDescent="0.4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9</v>
      </c>
      <c r="I297" t="s">
        <v>236</v>
      </c>
    </row>
    <row r="298" spans="1:9" x14ac:dyDescent="0.4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9</v>
      </c>
      <c r="I298" t="s">
        <v>237</v>
      </c>
    </row>
    <row r="299" spans="1:9" x14ac:dyDescent="0.4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30</v>
      </c>
      <c r="I299" t="s">
        <v>238</v>
      </c>
    </row>
    <row r="300" spans="1:9" x14ac:dyDescent="0.4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9</v>
      </c>
      <c r="I300" t="s">
        <v>239</v>
      </c>
    </row>
    <row r="301" spans="1:9" x14ac:dyDescent="0.4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30</v>
      </c>
      <c r="I301" t="s">
        <v>32</v>
      </c>
    </row>
    <row r="302" spans="1:9" x14ac:dyDescent="0.4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9</v>
      </c>
      <c r="I302" t="s">
        <v>197</v>
      </c>
    </row>
    <row r="303" spans="1:9" x14ac:dyDescent="0.4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9</v>
      </c>
      <c r="I303" t="s">
        <v>240</v>
      </c>
    </row>
    <row r="304" spans="1:9" x14ac:dyDescent="0.4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9</v>
      </c>
      <c r="I304" t="s">
        <v>241</v>
      </c>
    </row>
    <row r="305" spans="1:9" x14ac:dyDescent="0.4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24</v>
      </c>
      <c r="I305" t="s">
        <v>242</v>
      </c>
    </row>
    <row r="306" spans="1:9" x14ac:dyDescent="0.4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30</v>
      </c>
      <c r="I306" t="s">
        <v>243</v>
      </c>
    </row>
    <row r="307" spans="1:9" x14ac:dyDescent="0.4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9</v>
      </c>
      <c r="I307" t="s">
        <v>244</v>
      </c>
    </row>
    <row r="308" spans="1:9" x14ac:dyDescent="0.4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9</v>
      </c>
      <c r="I308" t="s">
        <v>245</v>
      </c>
    </row>
    <row r="309" spans="1:9" x14ac:dyDescent="0.4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9</v>
      </c>
      <c r="I309" t="s">
        <v>246</v>
      </c>
    </row>
    <row r="310" spans="1:9" x14ac:dyDescent="0.4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9</v>
      </c>
      <c r="I310" t="s">
        <v>247</v>
      </c>
    </row>
    <row r="311" spans="1:9" x14ac:dyDescent="0.4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30</v>
      </c>
      <c r="I311" t="s">
        <v>155</v>
      </c>
    </row>
    <row r="312" spans="1:9" x14ac:dyDescent="0.4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24</v>
      </c>
      <c r="I312" t="s">
        <v>248</v>
      </c>
    </row>
    <row r="313" spans="1:9" x14ac:dyDescent="0.4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9</v>
      </c>
      <c r="I313" t="s">
        <v>153</v>
      </c>
    </row>
    <row r="314" spans="1:9" x14ac:dyDescent="0.4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24</v>
      </c>
      <c r="I314" t="s">
        <v>249</v>
      </c>
    </row>
    <row r="315" spans="1:9" x14ac:dyDescent="0.4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9</v>
      </c>
      <c r="I315" t="s">
        <v>245</v>
      </c>
    </row>
    <row r="316" spans="1:9" x14ac:dyDescent="0.4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9</v>
      </c>
      <c r="I316" t="s">
        <v>250</v>
      </c>
    </row>
    <row r="317" spans="1:9" x14ac:dyDescent="0.4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9</v>
      </c>
      <c r="I317" t="s">
        <v>204</v>
      </c>
    </row>
    <row r="318" spans="1:9" x14ac:dyDescent="0.4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9</v>
      </c>
      <c r="I318" t="s">
        <v>207</v>
      </c>
    </row>
    <row r="319" spans="1:9" x14ac:dyDescent="0.4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30</v>
      </c>
      <c r="I319" t="s">
        <v>251</v>
      </c>
    </row>
    <row r="320" spans="1:9" x14ac:dyDescent="0.4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24</v>
      </c>
      <c r="I320" t="s">
        <v>252</v>
      </c>
    </row>
    <row r="321" spans="1:9" x14ac:dyDescent="0.4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24</v>
      </c>
      <c r="I321" t="s">
        <v>253</v>
      </c>
    </row>
    <row r="322" spans="1:9" x14ac:dyDescent="0.4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24</v>
      </c>
      <c r="I322" t="s">
        <v>254</v>
      </c>
    </row>
    <row r="323" spans="1:9" x14ac:dyDescent="0.4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24</v>
      </c>
      <c r="I323" t="s">
        <v>143</v>
      </c>
    </row>
    <row r="324" spans="1:9" x14ac:dyDescent="0.4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24</v>
      </c>
      <c r="I324" t="s">
        <v>255</v>
      </c>
    </row>
    <row r="325" spans="1:9" x14ac:dyDescent="0.4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9</v>
      </c>
      <c r="I325" t="s">
        <v>128</v>
      </c>
    </row>
    <row r="326" spans="1:9" x14ac:dyDescent="0.4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24</v>
      </c>
      <c r="I326" t="s">
        <v>242</v>
      </c>
    </row>
    <row r="327" spans="1:9" x14ac:dyDescent="0.4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30</v>
      </c>
      <c r="I327" t="s">
        <v>256</v>
      </c>
    </row>
    <row r="328" spans="1:9" x14ac:dyDescent="0.4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30</v>
      </c>
      <c r="I328" t="s">
        <v>257</v>
      </c>
    </row>
    <row r="329" spans="1:9" x14ac:dyDescent="0.4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30</v>
      </c>
      <c r="I329" t="s">
        <v>258</v>
      </c>
    </row>
    <row r="330" spans="1:9" x14ac:dyDescent="0.4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30</v>
      </c>
      <c r="I330" t="s">
        <v>259</v>
      </c>
    </row>
    <row r="331" spans="1:9" x14ac:dyDescent="0.4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24</v>
      </c>
      <c r="I331" t="s">
        <v>260</v>
      </c>
    </row>
    <row r="332" spans="1:9" x14ac:dyDescent="0.4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30</v>
      </c>
      <c r="I332" t="s">
        <v>261</v>
      </c>
    </row>
    <row r="333" spans="1:9" x14ac:dyDescent="0.4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24</v>
      </c>
      <c r="I333" t="s">
        <v>189</v>
      </c>
    </row>
    <row r="334" spans="1:9" x14ac:dyDescent="0.4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30</v>
      </c>
      <c r="I334" t="s">
        <v>262</v>
      </c>
    </row>
    <row r="335" spans="1:9" x14ac:dyDescent="0.4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24</v>
      </c>
      <c r="I335" t="s">
        <v>263</v>
      </c>
    </row>
    <row r="336" spans="1:9" x14ac:dyDescent="0.4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24</v>
      </c>
      <c r="I336" t="s">
        <v>264</v>
      </c>
    </row>
    <row r="337" spans="1:9" x14ac:dyDescent="0.4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30</v>
      </c>
      <c r="I337" t="s">
        <v>265</v>
      </c>
    </row>
    <row r="338" spans="1:9" x14ac:dyDescent="0.4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9</v>
      </c>
      <c r="I338" t="s">
        <v>266</v>
      </c>
    </row>
    <row r="339" spans="1:9" x14ac:dyDescent="0.4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24</v>
      </c>
      <c r="I339" t="s">
        <v>267</v>
      </c>
    </row>
    <row r="340" spans="1:9" x14ac:dyDescent="0.4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9</v>
      </c>
      <c r="I340" t="s">
        <v>268</v>
      </c>
    </row>
    <row r="341" spans="1:9" x14ac:dyDescent="0.4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9</v>
      </c>
      <c r="I341" t="s">
        <v>177</v>
      </c>
    </row>
    <row r="342" spans="1:9" x14ac:dyDescent="0.4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9</v>
      </c>
      <c r="I342" t="s">
        <v>269</v>
      </c>
    </row>
    <row r="343" spans="1:9" x14ac:dyDescent="0.4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9</v>
      </c>
      <c r="I343" t="s">
        <v>245</v>
      </c>
    </row>
    <row r="344" spans="1:9" x14ac:dyDescent="0.4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9</v>
      </c>
      <c r="I344" t="s">
        <v>268</v>
      </c>
    </row>
    <row r="345" spans="1:9" x14ac:dyDescent="0.4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24</v>
      </c>
      <c r="I345" t="s">
        <v>270</v>
      </c>
    </row>
    <row r="346" spans="1:9" x14ac:dyDescent="0.4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9</v>
      </c>
      <c r="I346" t="s">
        <v>271</v>
      </c>
    </row>
    <row r="347" spans="1:9" x14ac:dyDescent="0.4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24</v>
      </c>
      <c r="I347" t="s">
        <v>272</v>
      </c>
    </row>
    <row r="348" spans="1:9" x14ac:dyDescent="0.4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24</v>
      </c>
      <c r="I348" t="s">
        <v>131</v>
      </c>
    </row>
    <row r="349" spans="1:9" x14ac:dyDescent="0.4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24</v>
      </c>
      <c r="I349" t="s">
        <v>273</v>
      </c>
    </row>
    <row r="350" spans="1:9" x14ac:dyDescent="0.4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24</v>
      </c>
      <c r="I350" t="s">
        <v>274</v>
      </c>
    </row>
    <row r="351" spans="1:9" x14ac:dyDescent="0.4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24</v>
      </c>
      <c r="I351" t="s">
        <v>275</v>
      </c>
    </row>
    <row r="352" spans="1:9" x14ac:dyDescent="0.4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9</v>
      </c>
      <c r="I352" t="s">
        <v>276</v>
      </c>
    </row>
    <row r="353" spans="1:9" x14ac:dyDescent="0.4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9</v>
      </c>
      <c r="I353" t="s">
        <v>277</v>
      </c>
    </row>
    <row r="354" spans="1:9" x14ac:dyDescent="0.4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9</v>
      </c>
      <c r="I354" t="s">
        <v>278</v>
      </c>
    </row>
    <row r="355" spans="1:9" x14ac:dyDescent="0.4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30</v>
      </c>
      <c r="I355" t="s">
        <v>279</v>
      </c>
    </row>
    <row r="356" spans="1:9" x14ac:dyDescent="0.4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30</v>
      </c>
      <c r="I356" t="s">
        <v>280</v>
      </c>
    </row>
    <row r="357" spans="1:9" x14ac:dyDescent="0.4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24</v>
      </c>
      <c r="I357" t="s">
        <v>281</v>
      </c>
    </row>
    <row r="358" spans="1:9" x14ac:dyDescent="0.4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24</v>
      </c>
      <c r="I358" t="s">
        <v>143</v>
      </c>
    </row>
    <row r="359" spans="1:9" x14ac:dyDescent="0.4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24</v>
      </c>
      <c r="I359" t="s">
        <v>282</v>
      </c>
    </row>
    <row r="360" spans="1:9" x14ac:dyDescent="0.4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24</v>
      </c>
      <c r="I360" t="s">
        <v>253</v>
      </c>
    </row>
    <row r="361" spans="1:9" x14ac:dyDescent="0.4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30</v>
      </c>
      <c r="I361" t="s">
        <v>283</v>
      </c>
    </row>
    <row r="362" spans="1:9" x14ac:dyDescent="0.4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30</v>
      </c>
      <c r="I362" t="s">
        <v>284</v>
      </c>
    </row>
    <row r="363" spans="1:9" x14ac:dyDescent="0.4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24</v>
      </c>
      <c r="I363" t="s">
        <v>285</v>
      </c>
    </row>
    <row r="364" spans="1:9" x14ac:dyDescent="0.4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24</v>
      </c>
      <c r="I364" t="s">
        <v>286</v>
      </c>
    </row>
    <row r="365" spans="1:9" x14ac:dyDescent="0.4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9</v>
      </c>
      <c r="I365" t="s">
        <v>137</v>
      </c>
    </row>
    <row r="366" spans="1:9" x14ac:dyDescent="0.4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9</v>
      </c>
      <c r="I366" t="s">
        <v>287</v>
      </c>
    </row>
    <row r="367" spans="1:9" x14ac:dyDescent="0.4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9</v>
      </c>
      <c r="I367" t="s">
        <v>288</v>
      </c>
    </row>
    <row r="368" spans="1:9" x14ac:dyDescent="0.4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9</v>
      </c>
      <c r="I368" t="s">
        <v>289</v>
      </c>
    </row>
    <row r="369" spans="1:9" x14ac:dyDescent="0.4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9</v>
      </c>
      <c r="I369" t="s">
        <v>290</v>
      </c>
    </row>
    <row r="370" spans="1:9" x14ac:dyDescent="0.4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9</v>
      </c>
      <c r="I370" t="s">
        <v>291</v>
      </c>
    </row>
    <row r="371" spans="1:9" x14ac:dyDescent="0.4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9</v>
      </c>
      <c r="I371" t="s">
        <v>292</v>
      </c>
    </row>
    <row r="372" spans="1:9" x14ac:dyDescent="0.4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9</v>
      </c>
      <c r="I372" t="s">
        <v>293</v>
      </c>
    </row>
    <row r="373" spans="1:9" x14ac:dyDescent="0.4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9</v>
      </c>
      <c r="I373" t="s">
        <v>294</v>
      </c>
    </row>
    <row r="374" spans="1:9" x14ac:dyDescent="0.4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9</v>
      </c>
      <c r="I374" t="s">
        <v>247</v>
      </c>
    </row>
    <row r="375" spans="1:9" x14ac:dyDescent="0.4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9</v>
      </c>
      <c r="I375" t="s">
        <v>295</v>
      </c>
    </row>
    <row r="376" spans="1:9" x14ac:dyDescent="0.4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9</v>
      </c>
      <c r="I376" t="s">
        <v>296</v>
      </c>
    </row>
    <row r="377" spans="1:9" x14ac:dyDescent="0.4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30</v>
      </c>
      <c r="I377" t="s">
        <v>297</v>
      </c>
    </row>
    <row r="378" spans="1:9" x14ac:dyDescent="0.4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24</v>
      </c>
      <c r="I378" t="s">
        <v>298</v>
      </c>
    </row>
    <row r="379" spans="1:9" x14ac:dyDescent="0.4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24</v>
      </c>
      <c r="I379" t="s">
        <v>299</v>
      </c>
    </row>
    <row r="380" spans="1:9" x14ac:dyDescent="0.4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9</v>
      </c>
      <c r="I380" t="s">
        <v>300</v>
      </c>
    </row>
    <row r="381" spans="1:9" x14ac:dyDescent="0.4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9</v>
      </c>
      <c r="I381" t="s">
        <v>301</v>
      </c>
    </row>
    <row r="382" spans="1:9" x14ac:dyDescent="0.4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24</v>
      </c>
      <c r="I382" t="s">
        <v>302</v>
      </c>
    </row>
    <row r="383" spans="1:9" x14ac:dyDescent="0.4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24</v>
      </c>
      <c r="I383" t="s">
        <v>267</v>
      </c>
    </row>
    <row r="384" spans="1:9" x14ac:dyDescent="0.4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24</v>
      </c>
      <c r="I384" t="s">
        <v>143</v>
      </c>
    </row>
    <row r="385" spans="1:9" x14ac:dyDescent="0.4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24</v>
      </c>
      <c r="I385" t="s">
        <v>130</v>
      </c>
    </row>
    <row r="386" spans="1:9" x14ac:dyDescent="0.4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24</v>
      </c>
      <c r="I386" t="s">
        <v>303</v>
      </c>
    </row>
    <row r="387" spans="1:9" x14ac:dyDescent="0.4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24</v>
      </c>
      <c r="I387" t="s">
        <v>304</v>
      </c>
    </row>
    <row r="388" spans="1:9" x14ac:dyDescent="0.4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9</v>
      </c>
      <c r="I388" t="s">
        <v>305</v>
      </c>
    </row>
    <row r="389" spans="1:9" x14ac:dyDescent="0.4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9</v>
      </c>
      <c r="I389" t="s">
        <v>306</v>
      </c>
    </row>
    <row r="390" spans="1:9" x14ac:dyDescent="0.4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9</v>
      </c>
      <c r="I390" t="s">
        <v>307</v>
      </c>
    </row>
    <row r="391" spans="1:9" x14ac:dyDescent="0.4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9</v>
      </c>
      <c r="I391" t="s">
        <v>308</v>
      </c>
    </row>
    <row r="392" spans="1:9" x14ac:dyDescent="0.4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24</v>
      </c>
      <c r="I392" t="s">
        <v>309</v>
      </c>
    </row>
    <row r="393" spans="1:9" x14ac:dyDescent="0.4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9</v>
      </c>
      <c r="I393" t="s">
        <v>310</v>
      </c>
    </row>
    <row r="394" spans="1:9" x14ac:dyDescent="0.4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9</v>
      </c>
      <c r="I394" t="s">
        <v>311</v>
      </c>
    </row>
    <row r="395" spans="1:9" x14ac:dyDescent="0.4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9</v>
      </c>
      <c r="I395" t="s">
        <v>312</v>
      </c>
    </row>
    <row r="396" spans="1:9" x14ac:dyDescent="0.4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30</v>
      </c>
      <c r="I396" t="s">
        <v>313</v>
      </c>
    </row>
    <row r="397" spans="1:9" x14ac:dyDescent="0.4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9</v>
      </c>
      <c r="I397" t="s">
        <v>314</v>
      </c>
    </row>
    <row r="398" spans="1:9" x14ac:dyDescent="0.4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9</v>
      </c>
      <c r="I398" t="s">
        <v>315</v>
      </c>
    </row>
    <row r="399" spans="1:9" x14ac:dyDescent="0.4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9</v>
      </c>
      <c r="I399" t="s">
        <v>316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D565-4521-4E30-A67D-FF1FDA2E9337}">
  <dimension ref="A1:I95"/>
  <sheetViews>
    <sheetView tabSelected="1" workbookViewId="0"/>
  </sheetViews>
  <sheetFormatPr defaultRowHeight="14.25" x14ac:dyDescent="0.45"/>
  <cols>
    <col min="1" max="1" width="13.19921875" customWidth="1"/>
    <col min="2" max="2" width="30.33203125" customWidth="1"/>
    <col min="3" max="3" width="11.73046875" bestFit="1" customWidth="1"/>
    <col min="4" max="4" width="10.19921875" bestFit="1" customWidth="1"/>
    <col min="5" max="5" width="13.19921875" customWidth="1"/>
    <col min="6" max="6" width="10.46484375" bestFit="1" customWidth="1"/>
    <col min="7" max="7" width="12.1328125" bestFit="1" customWidth="1"/>
    <col min="9" max="9" width="21.06640625" bestFit="1" customWidth="1"/>
  </cols>
  <sheetData>
    <row r="1" spans="1:9" x14ac:dyDescent="0.45">
      <c r="A1" t="str" cm="1">
        <f t="array" ref="A1:F10">_xlfn._xlws.PY(1,0)</f>
        <v/>
      </c>
      <c r="B1" t="str">
        <v>dtype</v>
      </c>
      <c r="C1" t="str">
        <v>non_null</v>
      </c>
      <c r="D1" t="str">
        <v>null_count</v>
      </c>
      <c r="E1" t="str">
        <v>null_pct</v>
      </c>
      <c r="F1" t="str">
        <v>unique</v>
      </c>
    </row>
    <row r="2" spans="1:9" x14ac:dyDescent="0.45">
      <c r="A2" t="str">
        <v>mpg</v>
      </c>
      <c r="B2" t="str">
        <v>float64</v>
      </c>
      <c r="C2">
        <v>398</v>
      </c>
      <c r="D2">
        <v>0</v>
      </c>
      <c r="E2">
        <v>0</v>
      </c>
      <c r="F2">
        <v>129</v>
      </c>
    </row>
    <row r="3" spans="1:9" x14ac:dyDescent="0.45">
      <c r="A3" t="str">
        <v>cylinders</v>
      </c>
      <c r="B3" t="str">
        <v>int64</v>
      </c>
      <c r="C3">
        <v>398</v>
      </c>
      <c r="D3">
        <v>0</v>
      </c>
      <c r="E3">
        <v>0</v>
      </c>
      <c r="F3">
        <v>5</v>
      </c>
    </row>
    <row r="4" spans="1:9" x14ac:dyDescent="0.45">
      <c r="A4" t="str">
        <v>displacement</v>
      </c>
      <c r="B4" t="str">
        <v>float64</v>
      </c>
      <c r="C4">
        <v>398</v>
      </c>
      <c r="D4">
        <v>0</v>
      </c>
      <c r="E4">
        <v>0</v>
      </c>
      <c r="F4">
        <v>82</v>
      </c>
    </row>
    <row r="5" spans="1:9" x14ac:dyDescent="0.45">
      <c r="A5" t="str">
        <v>horsepower</v>
      </c>
      <c r="B5" t="str">
        <v>float64</v>
      </c>
      <c r="C5">
        <v>392</v>
      </c>
      <c r="D5">
        <v>6</v>
      </c>
      <c r="E5">
        <v>1.5</v>
      </c>
      <c r="F5">
        <v>93</v>
      </c>
    </row>
    <row r="6" spans="1:9" x14ac:dyDescent="0.45">
      <c r="A6" t="str">
        <v>weight</v>
      </c>
      <c r="B6" t="str">
        <v>int64</v>
      </c>
      <c r="C6">
        <v>398</v>
      </c>
      <c r="D6">
        <v>0</v>
      </c>
      <c r="E6">
        <v>0</v>
      </c>
      <c r="F6">
        <v>351</v>
      </c>
    </row>
    <row r="7" spans="1:9" x14ac:dyDescent="0.45">
      <c r="A7" t="str">
        <v>acceleration</v>
      </c>
      <c r="B7" t="str">
        <v>float64</v>
      </c>
      <c r="C7">
        <v>398</v>
      </c>
      <c r="D7">
        <v>0</v>
      </c>
      <c r="E7">
        <v>0</v>
      </c>
      <c r="F7">
        <v>95</v>
      </c>
    </row>
    <row r="8" spans="1:9" x14ac:dyDescent="0.45">
      <c r="A8" t="str">
        <v>model_year</v>
      </c>
      <c r="B8" t="str">
        <v>int64</v>
      </c>
      <c r="C8">
        <v>398</v>
      </c>
      <c r="D8">
        <v>0</v>
      </c>
      <c r="E8">
        <v>0</v>
      </c>
      <c r="F8">
        <v>13</v>
      </c>
    </row>
    <row r="9" spans="1:9" x14ac:dyDescent="0.45">
      <c r="A9" t="str">
        <v>origin</v>
      </c>
      <c r="B9" t="str">
        <v>object</v>
      </c>
      <c r="C9">
        <v>398</v>
      </c>
      <c r="D9">
        <v>0</v>
      </c>
      <c r="E9">
        <v>0</v>
      </c>
      <c r="F9">
        <v>3</v>
      </c>
    </row>
    <row r="10" spans="1:9" x14ac:dyDescent="0.45">
      <c r="A10" t="str">
        <v>name</v>
      </c>
      <c r="B10" t="str">
        <v>object</v>
      </c>
      <c r="C10">
        <v>398</v>
      </c>
      <c r="D10">
        <v>0</v>
      </c>
      <c r="E10">
        <v>0</v>
      </c>
      <c r="F10">
        <v>305</v>
      </c>
    </row>
    <row r="14" spans="1:9" x14ac:dyDescent="0.45">
      <c r="A14" s="1" t="str" cm="1">
        <f t="array" ref="A14:I19">_xlfn._xlws.PY(2,0)</f>
        <v>mpg</v>
      </c>
      <c r="B14" t="str">
        <v>cylinders</v>
      </c>
      <c r="C14" t="str">
        <v>displacement</v>
      </c>
      <c r="D14" t="str">
        <v>horsepower</v>
      </c>
      <c r="E14" t="str">
        <v>weight</v>
      </c>
      <c r="F14" t="str">
        <v>acceleration</v>
      </c>
      <c r="G14" t="str">
        <v>model_year</v>
      </c>
      <c r="H14" t="str">
        <v>origin</v>
      </c>
      <c r="I14" t="str">
        <v>name</v>
      </c>
    </row>
    <row r="15" spans="1:9" x14ac:dyDescent="0.45">
      <c r="A15" s="1">
        <v>18</v>
      </c>
      <c r="B15">
        <v>8</v>
      </c>
      <c r="C15">
        <v>307</v>
      </c>
      <c r="D15">
        <v>130</v>
      </c>
      <c r="E15">
        <v>3504</v>
      </c>
      <c r="F15">
        <v>12</v>
      </c>
      <c r="G15">
        <v>70</v>
      </c>
      <c r="H15" t="str">
        <v>usa</v>
      </c>
      <c r="I15" t="str">
        <v>chevrolet chevelle malibu</v>
      </c>
    </row>
    <row r="16" spans="1:9" x14ac:dyDescent="0.45">
      <c r="A16" s="1">
        <v>15</v>
      </c>
      <c r="B16">
        <v>8</v>
      </c>
      <c r="C16">
        <v>350</v>
      </c>
      <c r="D16">
        <v>165</v>
      </c>
      <c r="E16">
        <v>3693</v>
      </c>
      <c r="F16">
        <v>11.5</v>
      </c>
      <c r="G16">
        <v>70</v>
      </c>
      <c r="H16" t="str">
        <v>usa</v>
      </c>
      <c r="I16" t="str">
        <v>buick skylark 320</v>
      </c>
    </row>
    <row r="17" spans="1:9" x14ac:dyDescent="0.45">
      <c r="A17" s="1">
        <v>18</v>
      </c>
      <c r="B17">
        <v>8</v>
      </c>
      <c r="C17">
        <v>318</v>
      </c>
      <c r="D17">
        <v>150</v>
      </c>
      <c r="E17">
        <v>3436</v>
      </c>
      <c r="F17">
        <v>11</v>
      </c>
      <c r="G17">
        <v>70</v>
      </c>
      <c r="H17" t="str">
        <v>usa</v>
      </c>
      <c r="I17" t="str">
        <v>plymouth satellite</v>
      </c>
    </row>
    <row r="18" spans="1:9" x14ac:dyDescent="0.45">
      <c r="A18" s="1">
        <v>16</v>
      </c>
      <c r="B18">
        <v>8</v>
      </c>
      <c r="C18">
        <v>304</v>
      </c>
      <c r="D18">
        <v>150</v>
      </c>
      <c r="E18">
        <v>3433</v>
      </c>
      <c r="F18">
        <v>12</v>
      </c>
      <c r="G18">
        <v>70</v>
      </c>
      <c r="H18" t="str">
        <v>usa</v>
      </c>
      <c r="I18" t="str">
        <v>amc rebel sst</v>
      </c>
    </row>
    <row r="19" spans="1:9" x14ac:dyDescent="0.45">
      <c r="A19" s="1">
        <v>17</v>
      </c>
      <c r="B19">
        <v>8</v>
      </c>
      <c r="C19">
        <v>302</v>
      </c>
      <c r="D19">
        <v>140</v>
      </c>
      <c r="E19">
        <v>3449</v>
      </c>
      <c r="F19">
        <v>10.5</v>
      </c>
      <c r="G19">
        <v>70</v>
      </c>
      <c r="H19" t="str">
        <v>usa</v>
      </c>
      <c r="I19" t="str">
        <v>ford torino</v>
      </c>
    </row>
    <row r="21" spans="1:9" x14ac:dyDescent="0.45">
      <c r="A21" t="str" cm="1">
        <f t="array" ref="A21">_xlfn._xlws.PY(3,0)</f>
        <v>Before: 398 rows, After: 392 rows, Removed: 6</v>
      </c>
    </row>
    <row r="23" spans="1:9" x14ac:dyDescent="0.45">
      <c r="A23" t="str" cm="1">
        <f t="array" ref="A23">_xlfn._xlws.PY(4,0)</f>
        <v>Median horsepower: 93.5, Missing after fill: 0</v>
      </c>
    </row>
    <row r="25" spans="1:9" x14ac:dyDescent="0.45">
      <c r="A25" t="str" cm="1">
        <f t="array" ref="A25:C30">_xlfn._xlws.PY(5,0)</f>
        <v>name</v>
      </c>
      <c r="B25" t="str">
        <v>model_year</v>
      </c>
      <c r="C25" t="str">
        <v>era</v>
      </c>
    </row>
    <row r="26" spans="1:9" x14ac:dyDescent="0.45">
      <c r="A26" t="str">
        <v>chevrolet chevelle malibu</v>
      </c>
      <c r="B26">
        <v>70</v>
      </c>
      <c r="C26" t="str">
        <v>Early 1970s</v>
      </c>
    </row>
    <row r="27" spans="1:9" x14ac:dyDescent="0.45">
      <c r="A27" t="str">
        <v>buick skylark 320</v>
      </c>
      <c r="B27">
        <v>70</v>
      </c>
      <c r="C27" t="str">
        <v>Early 1970s</v>
      </c>
    </row>
    <row r="28" spans="1:9" x14ac:dyDescent="0.45">
      <c r="A28" t="str">
        <v>plymouth satellite</v>
      </c>
      <c r="B28">
        <v>70</v>
      </c>
      <c r="C28" t="str">
        <v>Early 1970s</v>
      </c>
    </row>
    <row r="29" spans="1:9" x14ac:dyDescent="0.45">
      <c r="A29" t="str">
        <v>amc rebel sst</v>
      </c>
      <c r="B29">
        <v>70</v>
      </c>
      <c r="C29" t="str">
        <v>Early 1970s</v>
      </c>
    </row>
    <row r="30" spans="1:9" x14ac:dyDescent="0.45">
      <c r="A30" t="str">
        <v>ford torino</v>
      </c>
      <c r="B30">
        <v>70</v>
      </c>
      <c r="C30" t="str">
        <v>Early 1970s</v>
      </c>
    </row>
    <row r="33" spans="1:6" x14ac:dyDescent="0.45">
      <c r="A33" t="str" cm="1">
        <f t="array" ref="A33:B36">_xlfn._xlws.PY(6,0)</f>
        <v>origin</v>
      </c>
      <c r="B33" t="str">
        <v>power_to_weight</v>
      </c>
    </row>
    <row r="34" spans="1:6" x14ac:dyDescent="0.45">
      <c r="A34" t="str">
        <v>europe</v>
      </c>
      <c r="B34">
        <v>33.69</v>
      </c>
    </row>
    <row r="35" spans="1:6" x14ac:dyDescent="0.45">
      <c r="A35" t="str">
        <v>japan</v>
      </c>
      <c r="B35">
        <v>35.700000000000003</v>
      </c>
    </row>
    <row r="36" spans="1:6" x14ac:dyDescent="0.45">
      <c r="A36" t="str">
        <v>usa</v>
      </c>
      <c r="B36">
        <v>34.97</v>
      </c>
    </row>
    <row r="39" spans="1:6" x14ac:dyDescent="0.45">
      <c r="A39" t="str" cm="1">
        <f t="array" ref="A39:F43">_xlfn._xlws.PY(7,0)</f>
        <v>cylinders</v>
      </c>
      <c r="B39">
        <v>3</v>
      </c>
      <c r="C39">
        <v>4</v>
      </c>
      <c r="D39">
        <v>5</v>
      </c>
      <c r="E39">
        <v>6</v>
      </c>
      <c r="F39">
        <v>8</v>
      </c>
    </row>
    <row r="40" spans="1:6" x14ac:dyDescent="0.45">
      <c r="A40" t="str">
        <v>origin</v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 spans="1:6" x14ac:dyDescent="0.45">
      <c r="A41" t="str">
        <v>europe</v>
      </c>
      <c r="B41">
        <v>0</v>
      </c>
      <c r="C41">
        <v>63</v>
      </c>
      <c r="D41">
        <v>3</v>
      </c>
      <c r="E41">
        <v>4</v>
      </c>
      <c r="F41">
        <v>0</v>
      </c>
    </row>
    <row r="42" spans="1:6" x14ac:dyDescent="0.45">
      <c r="A42" t="str">
        <v>japan</v>
      </c>
      <c r="B42">
        <v>4</v>
      </c>
      <c r="C42">
        <v>69</v>
      </c>
      <c r="D42">
        <v>0</v>
      </c>
      <c r="E42">
        <v>6</v>
      </c>
      <c r="F42">
        <v>0</v>
      </c>
    </row>
    <row r="43" spans="1:6" x14ac:dyDescent="0.45">
      <c r="A43" t="str">
        <v>usa</v>
      </c>
      <c r="B43">
        <v>0</v>
      </c>
      <c r="C43">
        <v>72</v>
      </c>
      <c r="D43">
        <v>0</v>
      </c>
      <c r="E43">
        <v>74</v>
      </c>
      <c r="F43">
        <v>103</v>
      </c>
    </row>
    <row r="46" spans="1:6" x14ac:dyDescent="0.45">
      <c r="A46" t="str" cm="1">
        <f t="array" ref="A46:F50">_xlfn._xlws.PY(8,0)</f>
        <v>cylinders</v>
      </c>
      <c r="B46">
        <v>3</v>
      </c>
      <c r="C46">
        <v>4</v>
      </c>
      <c r="D46">
        <v>5</v>
      </c>
      <c r="E46">
        <v>6</v>
      </c>
      <c r="F46">
        <v>8</v>
      </c>
    </row>
    <row r="47" spans="1:6" x14ac:dyDescent="0.45">
      <c r="A47" t="str">
        <v>origin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 spans="1:6" x14ac:dyDescent="0.45">
      <c r="A48" t="str">
        <v>europe</v>
      </c>
      <c r="B48" s="2">
        <v>0</v>
      </c>
      <c r="C48" s="2">
        <v>0.9</v>
      </c>
      <c r="D48" s="2">
        <v>4.2999999999999997E-2</v>
      </c>
      <c r="E48" s="2">
        <v>5.7000000000000002E-2</v>
      </c>
      <c r="F48" s="2">
        <v>0</v>
      </c>
    </row>
    <row r="49" spans="1:6" x14ac:dyDescent="0.45">
      <c r="A49" t="str">
        <v>japan</v>
      </c>
      <c r="B49" s="2">
        <v>5.0999999999999997E-2</v>
      </c>
      <c r="C49" s="2">
        <v>0.873</v>
      </c>
      <c r="D49" s="2">
        <v>0</v>
      </c>
      <c r="E49" s="2">
        <v>7.5999999999999998E-2</v>
      </c>
      <c r="F49" s="2">
        <v>0</v>
      </c>
    </row>
    <row r="50" spans="1:6" x14ac:dyDescent="0.45">
      <c r="A50" t="str">
        <v>usa</v>
      </c>
      <c r="B50" s="2">
        <v>0</v>
      </c>
      <c r="C50" s="2">
        <v>0.28899999999999998</v>
      </c>
      <c r="D50" s="2">
        <v>0</v>
      </c>
      <c r="E50" s="2">
        <v>0.29699999999999999</v>
      </c>
      <c r="F50" s="2">
        <v>0.41399999999999998</v>
      </c>
    </row>
    <row r="54" spans="1:6" x14ac:dyDescent="0.45">
      <c r="A54" t="e" cm="1" vm="2">
        <f t="array" ref="A54">_xlfn._xlws.PY(9,0)</f>
        <v>#VALUE!</v>
      </c>
    </row>
    <row r="74" spans="1:1" x14ac:dyDescent="0.45">
      <c r="A74" t="e" cm="1" vm="3">
        <f t="array" ref="A74">_xlfn._xlws.PY(10,0)</f>
        <v>#VALUE!</v>
      </c>
    </row>
    <row r="89" spans="1:7" x14ac:dyDescent="0.45">
      <c r="A89" t="str" cm="1">
        <f t="array" ref="A89:G92">_xlfn._xlws.PY(11,0)</f>
        <v/>
      </c>
      <c r="B89" t="str">
        <v>name</v>
      </c>
      <c r="C89" t="str">
        <v>mpg</v>
      </c>
      <c r="D89" t="str">
        <v>cylinders</v>
      </c>
      <c r="E89" t="str">
        <v>horsepower</v>
      </c>
      <c r="F89" t="str">
        <v>weight</v>
      </c>
      <c r="G89" t="str">
        <v>model_year</v>
      </c>
    </row>
    <row r="90" spans="1:7" x14ac:dyDescent="0.45">
      <c r="A90">
        <v>344</v>
      </c>
      <c r="B90" t="str">
        <v>plymouth champ</v>
      </c>
      <c r="C90">
        <v>39</v>
      </c>
      <c r="D90">
        <v>4</v>
      </c>
      <c r="E90">
        <v>64</v>
      </c>
      <c r="F90">
        <v>1875</v>
      </c>
      <c r="G90">
        <v>81</v>
      </c>
    </row>
    <row r="91" spans="1:7" x14ac:dyDescent="0.45">
      <c r="A91">
        <v>378</v>
      </c>
      <c r="B91" t="str">
        <v>plymouth horizon miser</v>
      </c>
      <c r="C91">
        <v>38</v>
      </c>
      <c r="D91">
        <v>4</v>
      </c>
      <c r="E91">
        <v>63</v>
      </c>
      <c r="F91">
        <v>2125</v>
      </c>
      <c r="G91">
        <v>82</v>
      </c>
    </row>
    <row r="92" spans="1:7" x14ac:dyDescent="0.45">
      <c r="A92">
        <v>387</v>
      </c>
      <c r="B92" t="str">
        <v>oldsmobile cutlass ciera (diesel)</v>
      </c>
      <c r="C92">
        <v>38</v>
      </c>
      <c r="D92">
        <v>6</v>
      </c>
      <c r="E92">
        <v>85</v>
      </c>
      <c r="F92">
        <v>3015</v>
      </c>
      <c r="G92">
        <v>82</v>
      </c>
    </row>
    <row r="95" spans="1:7" x14ac:dyDescent="0.45">
      <c r="A95" t="e" cm="1" vm="4">
        <f t="array" ref="A95">_xlfn._xlws.PY(12,0)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2026-04-03T20:12:39Z</dcterms:created>
  <dcterms:modified xsi:type="dcterms:W3CDTF">2026-09-22T16:21:45Z</dcterms:modified>
</cp:coreProperties>
</file>