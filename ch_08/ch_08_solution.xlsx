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8\"/>
    </mc:Choice>
  </mc:AlternateContent>
  <xr:revisionPtr revIDLastSave="0" documentId="13_ncr:1_{B70B9121-EE06-4569-8B91-6F6966910135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8" i="1" a="1"/>
  <c r="A11" i="1" s="1" a="1"/>
  <c r="A23" i="1" l="1" a="1"/>
  <c r="A30" i="1" a="1"/>
  <c r="A36" i="1" l="1" a="1"/>
  <c r="A44" i="1" a="1"/>
  <c r="A58" i="1" l="1" a="1"/>
  <c r="A62" i="1" s="1" a="1"/>
  <c r="A68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Set random seed for reproducibility
np.random.seed(42)
# Simulation parameters
num_experiments = 10000
flips_per_experiment = 100
# Generate random outcomes: 0 = tails, 1 = heads
outcomes = np.random.randint(0, 2, size=(num_experiments, flips_per_experiment))
# Count heads in each experiment
heads_per_experiment = outcomes.sum(axis=1)
heads_per_experiment[:5]</code>
    </pythonScript>
    <pythonScript>
      <code>mean_heads = np.mean(heads_per_experiment)
std_heads = np.std(heads_per_experiment)
f"Mean heads per 100 flips: {mean_heads:.2f}, Std dev: {std_heads:.2f}"</code>
    </pythonScript>
    <pythonScript>
      <code>plt.figure(figsize=(10, 5))
sns.histplot(heads_per_experiment, bins=30, kde=False,
             color="steelblue", edgecolor="black")
plt.xlabel("Number of Heads")
plt.ylabel("Frequency")
plt.title("Distribution of Heads in 100 Coin Flips (10,000 experiments)")
plt.axvline(mean_heads, color="red", linestyle="--",
            linewidth=2, label="Mean: " + str(round(mean_heads, 1)))
plt.legend()</code>
    </pythonScript>
    <pythonScript>
      <code># Set random seed for reproducibility
np.random.seed(42)
# Number of simulations
num_simulations = 10000
# Business parameters
selling_price = 50
cost_per_unit = 30
inventory_available = 1100
# Generate random demand (normal distribution, non-negative)
demand = np.maximum(
    np.random.normal(1000, 200, num_simulations),
    0
)
# Preview first 5 values
demand[:5]</code>
    </pythonScript>
    <pythonScript>
      <code># Units sold is the smaller of demand or inventory
units_sold = np.minimum(demand, inventory_available)
# Revenue comes from units sold
revenue = units_sold * selling_price
# Cost is all inventory, regardless of whether it sells
total_cost = inventory_available * cost_per_unit
# Profit = revenue - cost
profit = revenue - total_cost
profit[:5]</code>
    </pythonScript>
    <pythonScript>
      <code># Summary statistics
mean_profit      = np.mean(profit)
median_profit    = np.median(profit)
percentile_10    = np.percentile(profit, 10)
percentile_90    = np.percentile(profit, 90)
prob_loss        = (profit &lt; 0).sum() / num_simulations
# Store results in a DataFrame (no formatting applied)
results = pd.DataFrame({
    "Metric": [
        "Mean Profit",
        "Median Profit",
        "10th Percentile",
        "90th Percentile",
        "Probability of Loss"
    ],
    "Value": [
        mean_profit,
        median_profit,
        percentile_10,
        percentile_90,
        prob_loss
    ]
})
results</code>
    </pythonScript>
    <pythonScript>
      <code>plt.figure(figsize=(10, 5))
sns.histplot(profit, bins=50, kde=False, color="steelblue", edgecolor="black")
plt.axvline(mean_profit, color="red", linestyle="--",
            linewidth=2, label="Mean: $" + str(round(mean_profit)))
plt.axvline(0, color="black", linestyle="-", linewidth=1.5, label="Break-even")
plt.xlabel("Profit ($)")
plt.ylabel("Frequency")
plt.title("Distribution of Profit Outcomes (10,000 simulations)")
plt.legend()</code>
    </pythonScript>
    <pythonScript>
      <code># Probability of high profit
prob_high_profit = (profit &gt; 18000).sum() / num_simulations
# Display result
f"Probability of profit &gt; $18,000: {prob_high_profit * 100:.1f}%%"</code>
    </pythonScript>
    <pythonScript>
      <code># Set random seed for reproducibility
np.random.seed(42)
# Generate demand (same across scenarios)
demand = np.maximum(
    np.random.normal(1000, 200, num_simulations),
    0
)
# Inventory options to test
inventory_options = [900, 1100, 1300]
results_list = []
for inv in inventory_options:
    units_sold = np.minimum(demand, inv)
    revenue = units_sold * selling_price
    cost = inv * cost_per_unit
    sim_profit = revenue - cost
    results_list.append({
        "Inventory": inv,
        "Mean Profit": round(np.mean(sim_profit)),
        "Median Profit": round(np.median(sim_profit)),
        "10th Pctile": round(np.percentile(sim_profit, 10)),
        "90th Pctile": round(np.percentile(sim_profit, 90)),
        "Prob of Loss": (sim_profit &lt; 0).sum() / num_simulations
    })
# Create comparison table
comparison = pd.DataFrame(results_list)
comparison</code>
    </pythonScript>
    <pythonScript>
      <code>np.random.seed(42)
demand = np.maximum(np.random.normal(1000, 200, num_simulations), 0)
plt.figure(figsize=(10, 5))
for inv, color in zip([900, 1100, 1300], ["green", "steelblue", "coral"]):
    units_sold = np.minimum(demand, inv)
    revenue = units_sold * selling_price
    cost = inv * cost_per_unit
    sim_profit = revenue - cost
    sns.kdeplot(sim_profit, label="Inventory: " + str(inv), color=color, linewidth=2)
plt.axvline(0, color="black", linestyle="-", linewidth=1, label="Break-even")
plt.xlabel("Profit ($)")
plt.ylabel("Density")
plt.title("Profit Distributions for Three Inventory Decisions")
plt.legend()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10" Type="http://schemas.microsoft.com/office/2023/09/relationships/Python" Target="python.xml"/><Relationship Id="rId4" Type="http://schemas.openxmlformats.org/officeDocument/2006/relationships/sheetMetadata" Target="metadata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833967</xdr:colOff>
      <xdr:row>9</xdr:row>
      <xdr:rowOff>143933</xdr:rowOff>
    </xdr:from>
    <xdr:to>
      <xdr:col>5</xdr:col>
      <xdr:colOff>601134</xdr:colOff>
      <xdr:row>20</xdr:row>
      <xdr:rowOff>134298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7406C708-880E-8FC2-CDB4-C8C254293F3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1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967" y="1782233"/>
          <a:ext cx="3657600" cy="1992732"/>
        </a:xfrm>
        <a:prstGeom prst="rect">
          <a:avLst/>
        </a:prstGeom>
      </xdr:spPr>
    </xdr:pic>
    <xdr:clientData/>
  </xdr:twoCellAnchor>
  <xdr:twoCellAnchor editAs="oneCell">
    <xdr:from>
      <xdr:col>1</xdr:col>
      <xdr:colOff>452967</xdr:colOff>
      <xdr:row>42</xdr:row>
      <xdr:rowOff>21165</xdr:rowOff>
    </xdr:from>
    <xdr:to>
      <xdr:col>7</xdr:col>
      <xdr:colOff>235176</xdr:colOff>
      <xdr:row>53</xdr:row>
      <xdr:rowOff>155803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B87CF89B-1B9A-6F19-854B-C0F9ED52AEC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4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900" y="7666565"/>
          <a:ext cx="3922409" cy="2137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5</xdr:col>
      <xdr:colOff>294869</xdr:colOff>
      <xdr:row>79</xdr:row>
      <xdr:rowOff>59267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7932DB0-3F61-FFBD-6D10-B69984176A2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68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196233"/>
          <a:ext cx="4185302" cy="22436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9</v>
    <v>Image generated by Python</v>
  </rv>
  <rv s="0">
    <v>1</v>
    <v>9</v>
    <v>Image generated by Python</v>
  </rv>
  <rv s="0">
    <v>2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A1" sqref="A1"/>
    </sheetView>
  </sheetViews>
  <sheetFormatPr defaultRowHeight="14.25" x14ac:dyDescent="0.45"/>
  <cols>
    <col min="1" max="1" width="14.3984375" customWidth="1"/>
    <col min="2" max="2" width="9.73046875" bestFit="1" customWidth="1"/>
    <col min="3" max="3" width="11.59765625" bestFit="1" customWidth="1"/>
    <col min="4" max="5" width="9.19921875" bestFit="1" customWidth="1"/>
  </cols>
  <sheetData>
    <row r="1" spans="1:1" x14ac:dyDescent="0.45">
      <c r="A1" cm="1">
        <f t="array" ref="A1:A5">_xlfn._xlws.PY(0,0)</f>
        <v>56</v>
      </c>
    </row>
    <row r="2" spans="1:1" x14ac:dyDescent="0.45">
      <c r="A2">
        <v>44</v>
      </c>
    </row>
    <row r="3" spans="1:1" x14ac:dyDescent="0.45">
      <c r="A3">
        <v>49</v>
      </c>
    </row>
    <row r="4" spans="1:1" x14ac:dyDescent="0.45">
      <c r="A4">
        <v>52</v>
      </c>
    </row>
    <row r="5" spans="1:1" x14ac:dyDescent="0.45">
      <c r="A5">
        <v>55</v>
      </c>
    </row>
    <row r="8" spans="1:1" x14ac:dyDescent="0.45">
      <c r="A8" t="str" cm="1">
        <f t="array" ref="A8">_xlfn._xlws.PY(1,0)</f>
        <v>Mean heads per 100 flips: 49.98, Std dev: 4.99</v>
      </c>
    </row>
    <row r="11" spans="1:1" x14ac:dyDescent="0.45">
      <c r="A11" t="e" cm="1" vm="1">
        <f t="array" ref="A11">_xlfn._xlws.PY(2,0)</f>
        <v>#VALUE!</v>
      </c>
    </row>
    <row r="23" spans="1:1" x14ac:dyDescent="0.45">
      <c r="A23" s="1" cm="1">
        <f t="array" ref="A23:A27">_xlfn._xlws.PY(3,0)</f>
        <v>1099.3428306022465</v>
      </c>
    </row>
    <row r="24" spans="1:1" x14ac:dyDescent="0.45">
      <c r="A24" s="1">
        <v>972.34713976576302</v>
      </c>
    </row>
    <row r="25" spans="1:1" x14ac:dyDescent="0.45">
      <c r="A25" s="1">
        <v>1129.5377076201385</v>
      </c>
    </row>
    <row r="26" spans="1:1" x14ac:dyDescent="0.45">
      <c r="A26" s="1">
        <v>1304.605971281605</v>
      </c>
    </row>
    <row r="27" spans="1:1" x14ac:dyDescent="0.45">
      <c r="A27" s="1">
        <v>953.16932505533282</v>
      </c>
    </row>
    <row r="28" spans="1:1" x14ac:dyDescent="0.45">
      <c r="A28" s="1"/>
    </row>
    <row r="29" spans="1:1" x14ac:dyDescent="0.45">
      <c r="A29" s="1"/>
    </row>
    <row r="30" spans="1:1" x14ac:dyDescent="0.45">
      <c r="A30" s="1" cm="1">
        <f t="array" ref="A30:A34">_xlfn._xlws.PY(4,0)</f>
        <v>21967.141530112327</v>
      </c>
    </row>
    <row r="31" spans="1:1" x14ac:dyDescent="0.45">
      <c r="A31" s="1">
        <v>15617.356988288149</v>
      </c>
    </row>
    <row r="32" spans="1:1" x14ac:dyDescent="0.45">
      <c r="A32" s="1">
        <v>22000</v>
      </c>
    </row>
    <row r="33" spans="1:2" x14ac:dyDescent="0.45">
      <c r="A33" s="1">
        <v>22000</v>
      </c>
    </row>
    <row r="34" spans="1:2" x14ac:dyDescent="0.45">
      <c r="A34" s="1">
        <v>14658.466252766644</v>
      </c>
    </row>
    <row r="35" spans="1:2" x14ac:dyDescent="0.45">
      <c r="A35" s="1"/>
    </row>
    <row r="36" spans="1:2" x14ac:dyDescent="0.45">
      <c r="A36" t="str" cm="1">
        <f t="array" ref="A36:B41">_xlfn._xlws.PY(5,0)</f>
        <v>Metric</v>
      </c>
      <c r="B36" t="str">
        <v>Value</v>
      </c>
    </row>
    <row r="37" spans="1:2" x14ac:dyDescent="0.45">
      <c r="A37" t="str">
        <v>Mean Profit</v>
      </c>
      <c r="B37" s="1">
        <v>14998.252053092408</v>
      </c>
    </row>
    <row r="38" spans="1:2" x14ac:dyDescent="0.45">
      <c r="A38" t="str">
        <v>Median Profit</v>
      </c>
      <c r="B38" s="1">
        <v>16974.050242071222</v>
      </c>
    </row>
    <row r="39" spans="1:2" x14ac:dyDescent="0.45">
      <c r="A39" t="str">
        <v>10th Percentile</v>
      </c>
      <c r="B39" s="1">
        <v>4077.0103968971662</v>
      </c>
    </row>
    <row r="40" spans="1:2" x14ac:dyDescent="0.45">
      <c r="A40" t="str">
        <v>90th Percentile</v>
      </c>
      <c r="B40" s="1">
        <v>22000</v>
      </c>
    </row>
    <row r="41" spans="1:2" x14ac:dyDescent="0.45">
      <c r="A41" t="str">
        <v>Probability of Loss</v>
      </c>
      <c r="B41" s="2">
        <v>4.65E-2</v>
      </c>
    </row>
    <row r="44" spans="1:2" x14ac:dyDescent="0.45">
      <c r="A44" t="e" cm="1" vm="2">
        <f t="array" ref="A44">_xlfn._xlws.PY(6,0)</f>
        <v>#VALUE!</v>
      </c>
    </row>
    <row r="58" spans="1:6" x14ac:dyDescent="0.45">
      <c r="A58" t="str" cm="1">
        <f t="array" ref="A58">_xlfn._xlws.PY(7,0)</f>
        <v>Probability of profit &gt; $18,000: 45.9%</v>
      </c>
    </row>
    <row r="62" spans="1:6" x14ac:dyDescent="0.45">
      <c r="A62" t="str" cm="1">
        <f t="array" ref="A62:F65">_xlfn._xlws.PY(8,0)</f>
        <v>Inventory</v>
      </c>
      <c r="B62" t="str">
        <v>Mean Profit</v>
      </c>
      <c r="C62" t="str">
        <v>Median Profit</v>
      </c>
      <c r="D62" t="str">
        <v>10th Pctile</v>
      </c>
      <c r="E62" t="str">
        <v>90th Pctile</v>
      </c>
      <c r="F62" s="2" t="str">
        <v>Prob of Loss</v>
      </c>
    </row>
    <row r="63" spans="1:6" x14ac:dyDescent="0.45">
      <c r="A63" s="3">
        <v>900</v>
      </c>
      <c r="B63" s="4">
        <v>16007</v>
      </c>
      <c r="C63" s="4">
        <v>18000</v>
      </c>
      <c r="D63" s="4">
        <v>10077</v>
      </c>
      <c r="E63" s="4">
        <v>18000</v>
      </c>
      <c r="F63" s="2">
        <v>1.06E-2</v>
      </c>
    </row>
    <row r="64" spans="1:6" x14ac:dyDescent="0.45">
      <c r="A64" s="3">
        <v>1100</v>
      </c>
      <c r="B64" s="4">
        <v>14998</v>
      </c>
      <c r="C64" s="4">
        <v>16974</v>
      </c>
      <c r="D64" s="4">
        <v>4077</v>
      </c>
      <c r="E64" s="4">
        <v>22000</v>
      </c>
      <c r="F64" s="2">
        <v>4.65E-2</v>
      </c>
    </row>
    <row r="65" spans="1:6" x14ac:dyDescent="0.45">
      <c r="A65" s="3">
        <v>1300</v>
      </c>
      <c r="B65" s="4">
        <v>10681</v>
      </c>
      <c r="C65" s="4">
        <v>10974</v>
      </c>
      <c r="D65" s="4">
        <v>-1923</v>
      </c>
      <c r="E65" s="4">
        <v>23813</v>
      </c>
      <c r="F65" s="2">
        <v>0.13539999999999999</v>
      </c>
    </row>
    <row r="68" spans="1:6" x14ac:dyDescent="0.45">
      <c r="A68" t="e" cm="1" vm="3">
        <f t="array" ref="A68">_xlfn._xlws.PY(9,0)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2026-09-24T12:35:55Z</dcterms:modified>
</cp:coreProperties>
</file>